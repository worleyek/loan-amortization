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kw22\Desktop\etc\school_and_work\Semester archive\"/>
    </mc:Choice>
  </mc:AlternateContent>
  <xr:revisionPtr revIDLastSave="0" documentId="13_ncr:1_{1EC21885-00D1-42E8-BA1D-AD1FDE955846}" xr6:coauthVersionLast="47" xr6:coauthVersionMax="47" xr10:uidLastSave="{00000000-0000-0000-0000-000000000000}"/>
  <bookViews>
    <workbookView xWindow="19090" yWindow="2420" windowWidth="19420" windowHeight="10420" xr2:uid="{9C884F61-49E6-443A-8314-B3E3BB3EDC1C}"/>
  </bookViews>
  <sheets>
    <sheet name="Schedule" sheetId="3" r:id="rId1"/>
    <sheet name="Graphs" sheetId="6" r:id="rId2"/>
  </sheets>
  <definedNames>
    <definedName name="beginDate" localSheetId="0">Schedule!$D$8</definedName>
    <definedName name="compoundPeriod" localSheetId="0">Schedule!$D$15</definedName>
    <definedName name="loanAmt" localSheetId="0">Schedule!$D$5</definedName>
    <definedName name="monthsPerPeriod" localSheetId="0">Schedule!$D$16</definedName>
    <definedName name="nPer" localSheetId="0">Schedule!$D$17</definedName>
    <definedName name="payment" localSheetId="0">Schedule!$D$20</definedName>
    <definedName name="periods_per_year" localSheetId="0">Schedule!$D$14</definedName>
    <definedName name="pmtType" localSheetId="0">Schedule!$D$15</definedName>
    <definedName name="rate" localSheetId="0">Schedule!$H$5</definedName>
    <definedName name="roundOpt">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6" l="1"/>
  <c r="D14" i="3"/>
  <c r="D15" i="3"/>
  <c r="D13" i="3"/>
  <c r="D16" i="3" s="1"/>
  <c r="H25" i="3"/>
  <c r="A20" i="3"/>
  <c r="F10" i="3" l="1"/>
  <c r="H5" i="3"/>
  <c r="D17" i="3"/>
  <c r="A26" i="3" s="1"/>
  <c r="D20" i="3" l="1"/>
  <c r="F26" i="3"/>
  <c r="H6" i="3"/>
  <c r="B26" i="3" l="1"/>
  <c r="C26" i="3"/>
  <c r="G26" i="3" s="1"/>
  <c r="H26" i="3" s="1"/>
  <c r="A27" i="3" l="1"/>
  <c r="F27" i="3" s="1"/>
  <c r="B27" i="3" l="1"/>
  <c r="C27" i="3"/>
  <c r="G27" i="3" s="1"/>
  <c r="H27" i="3" s="1"/>
  <c r="A28" i="3" s="1"/>
  <c r="F28" i="3" s="1"/>
  <c r="B28" i="3" l="1"/>
  <c r="C28" i="3"/>
  <c r="G28" i="3" s="1"/>
  <c r="H28" i="3" s="1"/>
  <c r="A29" i="3" s="1"/>
  <c r="B29" i="3" l="1"/>
  <c r="C29" i="3"/>
  <c r="F29" i="3"/>
  <c r="G29" i="3" l="1"/>
  <c r="H29" i="3" s="1"/>
  <c r="A30" i="3" s="1"/>
  <c r="F30" i="3" l="1"/>
  <c r="C30" i="3"/>
  <c r="B30" i="3"/>
  <c r="G30" i="3" l="1"/>
  <c r="H30" i="3" s="1"/>
  <c r="A31" i="3" s="1"/>
  <c r="F31" i="3" s="1"/>
  <c r="B31" i="3" l="1"/>
  <c r="C31" i="3"/>
  <c r="G31" i="3" s="1"/>
  <c r="H31" i="3" s="1"/>
  <c r="A32" i="3" s="1"/>
  <c r="F32" i="3" l="1"/>
  <c r="C32" i="3"/>
  <c r="B32" i="3"/>
  <c r="G32" i="3" l="1"/>
  <c r="H32" i="3" s="1"/>
  <c r="A33" i="3" s="1"/>
  <c r="F33" i="3" s="1"/>
  <c r="C33" i="3" l="1"/>
  <c r="G33" i="3" s="1"/>
  <c r="H33" i="3" s="1"/>
  <c r="A34" i="3" s="1"/>
  <c r="B33" i="3"/>
  <c r="F34" i="3" l="1"/>
  <c r="C34" i="3"/>
  <c r="B34" i="3"/>
  <c r="G34" i="3" l="1"/>
  <c r="H34" i="3" s="1"/>
  <c r="A35" i="3" s="1"/>
  <c r="F35" i="3" s="1"/>
  <c r="B35" i="3" l="1"/>
  <c r="C35" i="3"/>
  <c r="G35" i="3" s="1"/>
  <c r="H35" i="3" s="1"/>
  <c r="A36" i="3" s="1"/>
  <c r="F36" i="3" l="1"/>
  <c r="C36" i="3"/>
  <c r="B36" i="3"/>
  <c r="G36" i="3" l="1"/>
  <c r="H36" i="3" s="1"/>
  <c r="A37" i="3" s="1"/>
  <c r="B37" i="3" s="1"/>
  <c r="C37" i="3" l="1"/>
  <c r="F37" i="3"/>
  <c r="G37" i="3" l="1"/>
  <c r="H37" i="3" s="1"/>
  <c r="A38" i="3" s="1"/>
  <c r="F38" i="3" s="1"/>
  <c r="B38" i="3" l="1"/>
  <c r="C38" i="3"/>
  <c r="G38" i="3" s="1"/>
  <c r="H38" i="3" s="1"/>
  <c r="A39" i="3" s="1"/>
  <c r="F39" i="3" s="1"/>
  <c r="B39" i="3" l="1"/>
  <c r="C39" i="3"/>
  <c r="G39" i="3" s="1"/>
  <c r="H39" i="3" s="1"/>
  <c r="A40" i="3" s="1"/>
  <c r="C40" i="3" l="1"/>
  <c r="F40" i="3"/>
  <c r="B40" i="3"/>
  <c r="G40" i="3" l="1"/>
  <c r="H40" i="3" s="1"/>
  <c r="A41" i="3" s="1"/>
  <c r="F41" i="3" s="1"/>
  <c r="B41" i="3" l="1"/>
  <c r="C41" i="3"/>
  <c r="G41" i="3" s="1"/>
  <c r="H41" i="3" s="1"/>
  <c r="A42" i="3" s="1"/>
  <c r="F42" i="3" l="1"/>
  <c r="C42" i="3"/>
  <c r="B42" i="3"/>
  <c r="G42" i="3" l="1"/>
  <c r="H42" i="3" s="1"/>
  <c r="A43" i="3" s="1"/>
  <c r="F43" i="3" s="1"/>
  <c r="B43" i="3" l="1"/>
  <c r="C43" i="3"/>
  <c r="G43" i="3" s="1"/>
  <c r="H43" i="3" s="1"/>
  <c r="A44" i="3" s="1"/>
  <c r="F44" i="3" l="1"/>
  <c r="C44" i="3"/>
  <c r="B44" i="3"/>
  <c r="G44" i="3" l="1"/>
  <c r="H44" i="3" s="1"/>
  <c r="A45" i="3" s="1"/>
  <c r="B45" i="3" s="1"/>
  <c r="F45" i="3" l="1"/>
  <c r="C45" i="3"/>
  <c r="G45" i="3" l="1"/>
  <c r="H45" i="3" s="1"/>
  <c r="A46" i="3" s="1"/>
  <c r="F46" i="3" s="1"/>
  <c r="B46" i="3" l="1"/>
  <c r="C46" i="3"/>
  <c r="G46" i="3" s="1"/>
  <c r="H46" i="3" s="1"/>
  <c r="A47" i="3" s="1"/>
  <c r="F47" i="3" s="1"/>
  <c r="C47" i="3" l="1"/>
  <c r="G47" i="3" s="1"/>
  <c r="H47" i="3" s="1"/>
  <c r="A48" i="3" s="1"/>
  <c r="B47" i="3"/>
  <c r="C48" i="3" l="1"/>
  <c r="F48" i="3"/>
  <c r="B48" i="3"/>
  <c r="G48" i="3" l="1"/>
  <c r="H48" i="3" s="1"/>
  <c r="A49" i="3" s="1"/>
  <c r="F49" i="3" s="1"/>
  <c r="B49" i="3" l="1"/>
  <c r="C49" i="3"/>
  <c r="G49" i="3" s="1"/>
  <c r="H49" i="3" s="1"/>
  <c r="A50" i="3" s="1"/>
  <c r="F50" i="3" s="1"/>
  <c r="B50" i="3" l="1"/>
  <c r="C50" i="3"/>
  <c r="G50" i="3" s="1"/>
  <c r="H50" i="3" s="1"/>
  <c r="A51" i="3" s="1"/>
  <c r="F51" i="3" s="1"/>
  <c r="B51" i="3" l="1"/>
  <c r="C51" i="3"/>
  <c r="G51" i="3" s="1"/>
  <c r="H51" i="3" s="1"/>
  <c r="A52" i="3" s="1"/>
  <c r="F52" i="3" s="1"/>
  <c r="B52" i="3" l="1"/>
  <c r="C52" i="3"/>
  <c r="G52" i="3" s="1"/>
  <c r="H52" i="3" s="1"/>
  <c r="A53" i="3" s="1"/>
  <c r="B53" i="3" s="1"/>
  <c r="F53" i="3" l="1"/>
  <c r="C53" i="3"/>
  <c r="G53" i="3" l="1"/>
  <c r="H53" i="3" s="1"/>
  <c r="A54" i="3" s="1"/>
  <c r="F54" i="3" s="1"/>
  <c r="C54" i="3" l="1"/>
  <c r="G54" i="3" s="1"/>
  <c r="H54" i="3" s="1"/>
  <c r="A55" i="3" s="1"/>
  <c r="F55" i="3" s="1"/>
  <c r="B54" i="3"/>
  <c r="C55" i="3" l="1"/>
  <c r="G55" i="3" s="1"/>
  <c r="H55" i="3" s="1"/>
  <c r="A56" i="3" s="1"/>
  <c r="C56" i="3" s="1"/>
  <c r="B55" i="3"/>
  <c r="F56" i="3" l="1"/>
  <c r="G56" i="3" s="1"/>
  <c r="H56" i="3" s="1"/>
  <c r="A57" i="3" s="1"/>
  <c r="F57" i="3" s="1"/>
  <c r="B56" i="3"/>
  <c r="C57" i="3" l="1"/>
  <c r="G57" i="3" s="1"/>
  <c r="H57" i="3" s="1"/>
  <c r="A58" i="3" s="1"/>
  <c r="F58" i="3" s="1"/>
  <c r="B57" i="3"/>
  <c r="C58" i="3" l="1"/>
  <c r="G58" i="3" s="1"/>
  <c r="H58" i="3" s="1"/>
  <c r="A59" i="3" s="1"/>
  <c r="C59" i="3" s="1"/>
  <c r="B58" i="3"/>
  <c r="F59" i="3" l="1"/>
  <c r="G59" i="3" s="1"/>
  <c r="H59" i="3" s="1"/>
  <c r="A60" i="3" s="1"/>
  <c r="B59" i="3"/>
  <c r="C60" i="3" l="1"/>
  <c r="F60" i="3"/>
  <c r="B60" i="3"/>
  <c r="G60" i="3" l="1"/>
  <c r="H60" i="3" s="1"/>
  <c r="A61" i="3" s="1"/>
  <c r="B61" i="3" l="1"/>
  <c r="C61" i="3"/>
  <c r="F61" i="3"/>
  <c r="G61" i="3" l="1"/>
  <c r="H61" i="3" s="1"/>
  <c r="A62" i="3" s="1"/>
  <c r="C62" i="3" s="1"/>
  <c r="B62" i="3" l="1"/>
  <c r="F62" i="3"/>
  <c r="G62" i="3" s="1"/>
  <c r="H62" i="3" s="1"/>
  <c r="A63" i="3" s="1"/>
  <c r="F63" i="3" s="1"/>
  <c r="B63" i="3" l="1"/>
  <c r="C63" i="3"/>
  <c r="G63" i="3" s="1"/>
  <c r="H63" i="3" s="1"/>
  <c r="A64" i="3" s="1"/>
  <c r="B64" i="3" s="1"/>
  <c r="F64" i="3" l="1"/>
  <c r="C64" i="3"/>
  <c r="G64" i="3" l="1"/>
  <c r="H64" i="3" s="1"/>
  <c r="A65" i="3" s="1"/>
  <c r="F65" i="3" l="1"/>
  <c r="B65" i="3"/>
  <c r="C65" i="3"/>
  <c r="G65" i="3" l="1"/>
  <c r="H65" i="3" s="1"/>
  <c r="A66" i="3" s="1"/>
  <c r="B66" i="3" s="1"/>
  <c r="F66" i="3" l="1"/>
  <c r="C66" i="3"/>
  <c r="G66" i="3" l="1"/>
  <c r="H66" i="3" s="1"/>
  <c r="A67" i="3" s="1"/>
  <c r="C67" i="3" s="1"/>
  <c r="B67" i="3" l="1"/>
  <c r="F67" i="3"/>
  <c r="G67" i="3" s="1"/>
  <c r="H67" i="3" s="1"/>
  <c r="A68" i="3" s="1"/>
  <c r="C68" i="3" s="1"/>
  <c r="F68" i="3" l="1"/>
  <c r="G68" i="3" s="1"/>
  <c r="H68" i="3" s="1"/>
  <c r="A69" i="3" s="1"/>
  <c r="B69" i="3" s="1"/>
  <c r="B68" i="3"/>
  <c r="F69" i="3" l="1"/>
  <c r="C69" i="3"/>
  <c r="G69" i="3" l="1"/>
  <c r="H69" i="3" s="1"/>
  <c r="A70" i="3" s="1"/>
  <c r="C70" i="3" s="1"/>
  <c r="F70" i="3" l="1"/>
  <c r="G70" i="3" s="1"/>
  <c r="H70" i="3" s="1"/>
  <c r="A71" i="3" s="1"/>
  <c r="F71" i="3" s="1"/>
  <c r="B70" i="3"/>
  <c r="C71" i="3" l="1"/>
  <c r="G71" i="3" s="1"/>
  <c r="H71" i="3" s="1"/>
  <c r="A72" i="3" s="1"/>
  <c r="F72" i="3" s="1"/>
  <c r="B71" i="3"/>
  <c r="B72" i="3" l="1"/>
  <c r="C72" i="3"/>
  <c r="G72" i="3" s="1"/>
  <c r="H72" i="3" s="1"/>
  <c r="A73" i="3" s="1"/>
  <c r="F73" i="3" s="1"/>
  <c r="B73" i="3" l="1"/>
  <c r="C73" i="3"/>
  <c r="G73" i="3" s="1"/>
  <c r="H73" i="3" s="1"/>
  <c r="A74" i="3" s="1"/>
  <c r="F74" i="3" s="1"/>
  <c r="C74" i="3" l="1"/>
  <c r="G74" i="3" s="1"/>
  <c r="H74" i="3" s="1"/>
  <c r="A75" i="3" s="1"/>
  <c r="B75" i="3" s="1"/>
  <c r="B74" i="3"/>
  <c r="C75" i="3" l="1"/>
  <c r="F75" i="3"/>
  <c r="G75" i="3" l="1"/>
  <c r="H75" i="3" s="1"/>
  <c r="A76" i="3" s="1"/>
  <c r="F76" i="3" s="1"/>
  <c r="C76" i="3" l="1"/>
  <c r="G76" i="3" s="1"/>
  <c r="H76" i="3" s="1"/>
  <c r="A77" i="3" s="1"/>
  <c r="B77" i="3" s="1"/>
  <c r="B76" i="3"/>
  <c r="C77" i="3" l="1"/>
  <c r="F77" i="3"/>
  <c r="G77" i="3" l="1"/>
  <c r="H77" i="3" s="1"/>
  <c r="A78" i="3" s="1"/>
  <c r="F78" i="3" s="1"/>
  <c r="C78" i="3" l="1"/>
  <c r="G78" i="3" s="1"/>
  <c r="H78" i="3" s="1"/>
  <c r="A79" i="3" s="1"/>
  <c r="F79" i="3" s="1"/>
  <c r="B78" i="3"/>
  <c r="C79" i="3" l="1"/>
  <c r="G79" i="3" s="1"/>
  <c r="H79" i="3" s="1"/>
  <c r="A80" i="3" s="1"/>
  <c r="C80" i="3" s="1"/>
  <c r="B79" i="3"/>
  <c r="F80" i="3" l="1"/>
  <c r="G80" i="3" s="1"/>
  <c r="H80" i="3" s="1"/>
  <c r="A81" i="3" s="1"/>
  <c r="F81" i="3" s="1"/>
  <c r="B80" i="3"/>
  <c r="B81" i="3" l="1"/>
  <c r="C81" i="3"/>
  <c r="G81" i="3" s="1"/>
  <c r="H81" i="3" s="1"/>
  <c r="A82" i="3" s="1"/>
  <c r="C82" i="3" s="1"/>
  <c r="F82" i="3" l="1"/>
  <c r="G82" i="3" s="1"/>
  <c r="H82" i="3" s="1"/>
  <c r="A83" i="3" s="1"/>
  <c r="C83" i="3" s="1"/>
  <c r="B82" i="3"/>
  <c r="F83" i="3" l="1"/>
  <c r="G83" i="3" s="1"/>
  <c r="H83" i="3" s="1"/>
  <c r="A84" i="3" s="1"/>
  <c r="B83" i="3"/>
  <c r="F84" i="3" l="1"/>
  <c r="B84" i="3"/>
  <c r="C84" i="3"/>
  <c r="G84" i="3" l="1"/>
  <c r="H84" i="3" s="1"/>
  <c r="A85" i="3" s="1"/>
  <c r="F85" i="3" s="1"/>
  <c r="C85" i="3" l="1"/>
  <c r="G85" i="3" s="1"/>
  <c r="H85" i="3" s="1"/>
  <c r="A86" i="3" s="1"/>
  <c r="B86" i="3" s="1"/>
  <c r="B85" i="3"/>
  <c r="F86" i="3" l="1"/>
  <c r="C86" i="3"/>
  <c r="G86" i="3" l="1"/>
  <c r="H86" i="3" s="1"/>
  <c r="A87" i="3" s="1"/>
  <c r="B87" i="3" s="1"/>
  <c r="F87" i="3" l="1"/>
  <c r="C87" i="3"/>
  <c r="G87" i="3" s="1"/>
  <c r="H87" i="3" s="1"/>
  <c r="A88" i="3" s="1"/>
  <c r="F88" i="3" s="1"/>
  <c r="C88" i="3" l="1"/>
  <c r="G88" i="3" s="1"/>
  <c r="H88" i="3" s="1"/>
  <c r="A89" i="3" s="1"/>
  <c r="C89" i="3" s="1"/>
  <c r="B88" i="3"/>
  <c r="B89" i="3" l="1"/>
  <c r="F89" i="3"/>
  <c r="G89" i="3" s="1"/>
  <c r="H89" i="3" s="1"/>
  <c r="A90" i="3" s="1"/>
  <c r="F90" i="3" s="1"/>
  <c r="B90" i="3" l="1"/>
  <c r="C90" i="3"/>
  <c r="G90" i="3" s="1"/>
  <c r="H90" i="3" s="1"/>
  <c r="A91" i="3" s="1"/>
  <c r="B91" i="3" l="1"/>
  <c r="C91" i="3"/>
  <c r="F91" i="3"/>
  <c r="G91" i="3" l="1"/>
  <c r="H91" i="3" s="1"/>
  <c r="A92" i="3" s="1"/>
  <c r="F92" i="3" l="1"/>
  <c r="B92" i="3"/>
  <c r="C92" i="3"/>
  <c r="G92" i="3" l="1"/>
  <c r="H92" i="3" s="1"/>
  <c r="A93" i="3" s="1"/>
  <c r="F93" i="3" s="1"/>
  <c r="B93" i="3" l="1"/>
  <c r="C93" i="3"/>
  <c r="G93" i="3" s="1"/>
  <c r="H93" i="3" s="1"/>
  <c r="A94" i="3" s="1"/>
  <c r="C94" i="3" s="1"/>
  <c r="B94" i="3" l="1"/>
  <c r="F94" i="3"/>
  <c r="G94" i="3" s="1"/>
  <c r="H94" i="3" s="1"/>
  <c r="A95" i="3" s="1"/>
  <c r="F95" i="3" l="1"/>
  <c r="C95" i="3"/>
  <c r="B95" i="3"/>
  <c r="G95" i="3" l="1"/>
  <c r="H95" i="3" s="1"/>
  <c r="A96" i="3" s="1"/>
  <c r="C96" i="3" s="1"/>
  <c r="F96" i="3" l="1"/>
  <c r="G96" i="3" s="1"/>
  <c r="H96" i="3" s="1"/>
  <c r="A97" i="3" s="1"/>
  <c r="B96" i="3"/>
  <c r="F97" i="3" l="1"/>
  <c r="C97" i="3"/>
  <c r="B97" i="3"/>
  <c r="G97" i="3" l="1"/>
  <c r="H97" i="3" s="1"/>
  <c r="A98" i="3" s="1"/>
  <c r="F98" i="3" s="1"/>
  <c r="B98" i="3" l="1"/>
  <c r="C98" i="3"/>
  <c r="G98" i="3" s="1"/>
  <c r="H98" i="3" s="1"/>
  <c r="A99" i="3" s="1"/>
  <c r="F99" i="3" l="1"/>
  <c r="B99" i="3"/>
  <c r="C99" i="3"/>
  <c r="G99" i="3" s="1"/>
  <c r="H99" i="3" s="1"/>
  <c r="A100" i="3" s="1"/>
  <c r="F100" i="3" l="1"/>
  <c r="B100" i="3"/>
  <c r="C100" i="3"/>
  <c r="G100" i="3" l="1"/>
  <c r="H100" i="3" s="1"/>
  <c r="A101" i="3" s="1"/>
  <c r="C101" i="3" l="1"/>
  <c r="F101" i="3"/>
  <c r="B101" i="3"/>
  <c r="G101" i="3" l="1"/>
  <c r="H101" i="3" s="1"/>
  <c r="A102" i="3" s="1"/>
  <c r="C102" i="3" s="1"/>
  <c r="B102" i="3" l="1"/>
  <c r="F102" i="3"/>
  <c r="G102" i="3" s="1"/>
  <c r="H102" i="3" s="1"/>
  <c r="A103" i="3" s="1"/>
  <c r="C103" i="3" s="1"/>
  <c r="F103" i="3" l="1"/>
  <c r="B103" i="3"/>
  <c r="G103" i="3"/>
  <c r="H103" i="3" s="1"/>
  <c r="A104" i="3" s="1"/>
  <c r="C104" i="3" l="1"/>
  <c r="B104" i="3"/>
  <c r="F104" i="3"/>
  <c r="G104" i="3" s="1"/>
  <c r="H104" i="3" s="1"/>
  <c r="A105" i="3" s="1"/>
  <c r="F105" i="3" l="1"/>
  <c r="B105" i="3"/>
  <c r="C105" i="3"/>
  <c r="G105" i="3" l="1"/>
  <c r="H105" i="3" s="1"/>
  <c r="A106" i="3" s="1"/>
  <c r="B106" i="3" s="1"/>
  <c r="C106" i="3" l="1"/>
  <c r="F106" i="3"/>
  <c r="G106" i="3" l="1"/>
  <c r="H106" i="3" s="1"/>
  <c r="A107" i="3" s="1"/>
  <c r="F107" i="3" s="1"/>
  <c r="C107" i="3" l="1"/>
  <c r="G107" i="3" s="1"/>
  <c r="H107" i="3" s="1"/>
  <c r="A108" i="3" s="1"/>
  <c r="F108" i="3" s="1"/>
  <c r="B107" i="3"/>
  <c r="B108" i="3" l="1"/>
  <c r="C108" i="3"/>
  <c r="G108" i="3"/>
  <c r="H108" i="3" s="1"/>
  <c r="A109" i="3" s="1"/>
  <c r="B109" i="3" s="1"/>
  <c r="C109" i="3" l="1"/>
  <c r="F109" i="3"/>
  <c r="G109" i="3" s="1"/>
  <c r="H109" i="3" s="1"/>
  <c r="A110" i="3" s="1"/>
  <c r="F110" i="3" l="1"/>
  <c r="B110" i="3"/>
  <c r="C110" i="3"/>
  <c r="G110" i="3" l="1"/>
  <c r="H110" i="3" s="1"/>
  <c r="A111" i="3" s="1"/>
  <c r="F111" i="3" s="1"/>
  <c r="C111" i="3" l="1"/>
  <c r="G111" i="3" s="1"/>
  <c r="H111" i="3" s="1"/>
  <c r="A112" i="3" s="1"/>
  <c r="F112" i="3" s="1"/>
  <c r="B111" i="3"/>
  <c r="B112" i="3" l="1"/>
  <c r="C112" i="3"/>
  <c r="G112" i="3" s="1"/>
  <c r="H112" i="3" s="1"/>
  <c r="A113" i="3" s="1"/>
  <c r="F113" i="3" s="1"/>
  <c r="C113" i="3" l="1"/>
  <c r="G113" i="3" s="1"/>
  <c r="H113" i="3" s="1"/>
  <c r="A114" i="3" s="1"/>
  <c r="C114" i="3" s="1"/>
  <c r="B113" i="3"/>
  <c r="F114" i="3" l="1"/>
  <c r="G114" i="3" s="1"/>
  <c r="H114" i="3" s="1"/>
  <c r="A115" i="3" s="1"/>
  <c r="B114" i="3"/>
  <c r="F115" i="3" l="1"/>
  <c r="B115" i="3"/>
  <c r="C115" i="3"/>
  <c r="G115" i="3" s="1"/>
  <c r="H115" i="3" s="1"/>
  <c r="A116" i="3" s="1"/>
  <c r="F116" i="3" s="1"/>
  <c r="C116" i="3" l="1"/>
  <c r="G116" i="3" s="1"/>
  <c r="H116" i="3" s="1"/>
  <c r="A117" i="3" s="1"/>
  <c r="B117" i="3" s="1"/>
  <c r="B116" i="3"/>
  <c r="C117" i="3" l="1"/>
  <c r="F117" i="3"/>
  <c r="G117" i="3" l="1"/>
  <c r="H117" i="3" s="1"/>
  <c r="A118" i="3" s="1"/>
  <c r="C118" i="3" l="1"/>
  <c r="B118" i="3"/>
  <c r="F118" i="3"/>
  <c r="G118" i="3" s="1"/>
  <c r="H118" i="3" s="1"/>
  <c r="A119" i="3" s="1"/>
  <c r="F119" i="3" l="1"/>
  <c r="B119" i="3"/>
  <c r="C119" i="3"/>
  <c r="G119" i="3" s="1"/>
  <c r="H119" i="3" s="1"/>
  <c r="A120" i="3" s="1"/>
  <c r="C120" i="3" l="1"/>
  <c r="B120" i="3"/>
  <c r="F120" i="3"/>
  <c r="G120" i="3" s="1"/>
  <c r="H120" i="3" s="1"/>
  <c r="A121" i="3" s="1"/>
  <c r="B121" i="3" l="1"/>
  <c r="C121" i="3"/>
  <c r="F121" i="3"/>
  <c r="G121" i="3" l="1"/>
  <c r="H121" i="3" s="1"/>
  <c r="A122" i="3" s="1"/>
  <c r="C122" i="3" s="1"/>
  <c r="F122" i="3" l="1"/>
  <c r="B122" i="3"/>
  <c r="G122" i="3"/>
  <c r="H122" i="3" s="1"/>
  <c r="A123" i="3" s="1"/>
  <c r="F123" i="3" s="1"/>
  <c r="B123" i="3" l="1"/>
  <c r="C123" i="3"/>
  <c r="G123" i="3" s="1"/>
  <c r="H123" i="3" s="1"/>
  <c r="A124" i="3" s="1"/>
  <c r="F124" i="3" l="1"/>
  <c r="B124" i="3"/>
  <c r="C124" i="3"/>
  <c r="G124" i="3" s="1"/>
  <c r="H124" i="3" s="1"/>
  <c r="A125" i="3" s="1"/>
  <c r="C125" i="3" l="1"/>
  <c r="B125" i="3"/>
  <c r="F125" i="3"/>
  <c r="G125" i="3" l="1"/>
  <c r="H125" i="3" s="1"/>
  <c r="A126" i="3" s="1"/>
  <c r="C126" i="3" l="1"/>
  <c r="F126" i="3"/>
  <c r="B126" i="3"/>
  <c r="G126" i="3" l="1"/>
  <c r="H126" i="3" s="1"/>
  <c r="A127" i="3" s="1"/>
  <c r="C127" i="3" l="1"/>
  <c r="B127" i="3"/>
  <c r="F127" i="3"/>
  <c r="G127" i="3" s="1"/>
  <c r="H127" i="3" s="1"/>
  <c r="A128" i="3" s="1"/>
  <c r="C128" i="3" l="1"/>
  <c r="B128" i="3"/>
  <c r="F128" i="3"/>
  <c r="G128" i="3"/>
  <c r="H128" i="3" s="1"/>
  <c r="A129" i="3" s="1"/>
  <c r="C129" i="3" l="1"/>
  <c r="F129" i="3"/>
  <c r="B129" i="3"/>
  <c r="G129" i="3" l="1"/>
  <c r="H129" i="3" s="1"/>
  <c r="A130" i="3" s="1"/>
  <c r="C130" i="3" s="1"/>
  <c r="F130" i="3"/>
  <c r="B130" i="3"/>
  <c r="G130" i="3" l="1"/>
  <c r="H130" i="3" s="1"/>
  <c r="A131" i="3" s="1"/>
  <c r="B131" i="3" s="1"/>
  <c r="C131" i="3"/>
  <c r="F131" i="3"/>
  <c r="G131" i="3" s="1"/>
  <c r="H131" i="3" s="1"/>
  <c r="A132" i="3" s="1"/>
  <c r="F132" i="3" l="1"/>
  <c r="C132" i="3"/>
  <c r="B132" i="3"/>
  <c r="G132" i="3"/>
  <c r="H132" i="3" s="1"/>
  <c r="A133" i="3" s="1"/>
  <c r="F133" i="3" s="1"/>
  <c r="B133" i="3" l="1"/>
  <c r="C133" i="3"/>
  <c r="G133" i="3" s="1"/>
  <c r="H133" i="3" s="1"/>
  <c r="A134" i="3" s="1"/>
  <c r="C134" i="3" s="1"/>
  <c r="F134" i="3" l="1"/>
  <c r="G134" i="3" s="1"/>
  <c r="H134" i="3" s="1"/>
  <c r="A135" i="3" s="1"/>
  <c r="B134" i="3"/>
  <c r="C135" i="3" l="1"/>
  <c r="B135" i="3"/>
  <c r="F135" i="3"/>
  <c r="G135" i="3" s="1"/>
  <c r="H135" i="3" s="1"/>
  <c r="A136" i="3" s="1"/>
  <c r="C136" i="3" s="1"/>
  <c r="B136" i="3" l="1"/>
  <c r="F136" i="3"/>
  <c r="G136" i="3" s="1"/>
  <c r="H136" i="3" s="1"/>
  <c r="A137" i="3" s="1"/>
  <c r="F137" i="3" s="1"/>
  <c r="C137" i="3" l="1"/>
  <c r="B137" i="3"/>
  <c r="G137" i="3"/>
  <c r="H137" i="3" s="1"/>
  <c r="A138" i="3" s="1"/>
  <c r="B138" i="3" s="1"/>
  <c r="F138" i="3" l="1"/>
  <c r="C138" i="3"/>
  <c r="G138" i="3" l="1"/>
  <c r="H138" i="3" s="1"/>
  <c r="A139" i="3" s="1"/>
  <c r="B139" i="3" l="1"/>
  <c r="C139" i="3"/>
  <c r="F139" i="3"/>
  <c r="G139" i="3" l="1"/>
  <c r="H139" i="3" s="1"/>
  <c r="A140" i="3" s="1"/>
  <c r="F140" i="3" s="1"/>
  <c r="C140" i="3" l="1"/>
  <c r="G140" i="3" s="1"/>
  <c r="H140" i="3" s="1"/>
  <c r="A141" i="3" s="1"/>
  <c r="B140" i="3"/>
  <c r="B141" i="3" l="1"/>
  <c r="C141" i="3"/>
  <c r="F141" i="3"/>
  <c r="G141" i="3" l="1"/>
  <c r="H141" i="3" s="1"/>
  <c r="A142" i="3" s="1"/>
  <c r="F142" i="3" s="1"/>
  <c r="B142" i="3" l="1"/>
  <c r="C142" i="3"/>
  <c r="G142" i="3"/>
  <c r="H142" i="3" s="1"/>
  <c r="A143" i="3" s="1"/>
  <c r="C143" i="3" l="1"/>
  <c r="B143" i="3"/>
  <c r="F143" i="3"/>
  <c r="G143" i="3" s="1"/>
  <c r="H143" i="3" s="1"/>
  <c r="A144" i="3" s="1"/>
  <c r="C144" i="3" l="1"/>
  <c r="F144" i="3"/>
  <c r="B144" i="3"/>
  <c r="G144" i="3" l="1"/>
  <c r="H144" i="3" s="1"/>
  <c r="A145" i="3" s="1"/>
  <c r="F145" i="3" s="1"/>
  <c r="C145" i="3" l="1"/>
  <c r="G145" i="3" s="1"/>
  <c r="H145" i="3" s="1"/>
  <c r="A146" i="3" s="1"/>
  <c r="C146" i="3" s="1"/>
  <c r="B145" i="3"/>
  <c r="B146" i="3" l="1"/>
  <c r="F146" i="3"/>
  <c r="G146" i="3" s="1"/>
  <c r="H146" i="3" s="1"/>
  <c r="A147" i="3" s="1"/>
  <c r="C147" i="3" s="1"/>
  <c r="B147" i="3" l="1"/>
  <c r="F147" i="3"/>
  <c r="G147" i="3" s="1"/>
  <c r="H147" i="3" s="1"/>
  <c r="A148" i="3" s="1"/>
  <c r="F148" i="3" s="1"/>
  <c r="B148" i="3" l="1"/>
  <c r="C148" i="3"/>
  <c r="G148" i="3" s="1"/>
  <c r="H148" i="3" s="1"/>
  <c r="A149" i="3" s="1"/>
  <c r="C149" i="3" s="1"/>
  <c r="F149" i="3" l="1"/>
  <c r="B149" i="3"/>
  <c r="G149" i="3"/>
  <c r="H149" i="3" s="1"/>
  <c r="A150" i="3" s="1"/>
  <c r="F150" i="3" s="1"/>
  <c r="C150" i="3" l="1"/>
  <c r="G150" i="3" s="1"/>
  <c r="H150" i="3" s="1"/>
  <c r="A151" i="3" s="1"/>
  <c r="B151" i="3" s="1"/>
  <c r="B150" i="3"/>
  <c r="F151" i="3" l="1"/>
  <c r="C151" i="3"/>
  <c r="G151" i="3" s="1"/>
  <c r="H151" i="3" s="1"/>
  <c r="A152" i="3" s="1"/>
  <c r="B152" i="3" s="1"/>
  <c r="F152" i="3" l="1"/>
  <c r="C152" i="3"/>
  <c r="G152" i="3" l="1"/>
  <c r="H152" i="3" s="1"/>
  <c r="A153" i="3" s="1"/>
  <c r="B153" i="3" l="1"/>
  <c r="C153" i="3"/>
  <c r="F153" i="3"/>
  <c r="G153" i="3" l="1"/>
  <c r="H153" i="3" s="1"/>
  <c r="A154" i="3" s="1"/>
  <c r="C154" i="3" s="1"/>
  <c r="B154" i="3"/>
  <c r="F154" i="3"/>
  <c r="G154" i="3" l="1"/>
  <c r="H154" i="3" s="1"/>
  <c r="A155" i="3" s="1"/>
  <c r="B155" i="3"/>
  <c r="C155" i="3"/>
  <c r="F155" i="3"/>
  <c r="G155" i="3" l="1"/>
  <c r="H155" i="3" s="1"/>
  <c r="A156" i="3" s="1"/>
  <c r="B156" i="3" l="1"/>
  <c r="F156" i="3"/>
  <c r="C156" i="3"/>
  <c r="G156" i="3" s="1"/>
  <c r="H156" i="3" s="1"/>
  <c r="A157" i="3" s="1"/>
  <c r="F157" i="3" l="1"/>
  <c r="B157" i="3"/>
  <c r="C157" i="3"/>
  <c r="G157" i="3" l="1"/>
  <c r="H157" i="3" s="1"/>
  <c r="A158" i="3" s="1"/>
  <c r="B158" i="3" l="1"/>
  <c r="F158" i="3"/>
  <c r="C158" i="3"/>
  <c r="G158" i="3" s="1"/>
  <c r="H158" i="3" s="1"/>
  <c r="A159" i="3" s="1"/>
  <c r="F159" i="3" l="1"/>
  <c r="C159" i="3"/>
  <c r="G159" i="3" s="1"/>
  <c r="H159" i="3" s="1"/>
  <c r="A160" i="3" s="1"/>
  <c r="B159" i="3"/>
  <c r="C160" i="3" l="1"/>
  <c r="B160" i="3"/>
  <c r="F160" i="3"/>
  <c r="G160" i="3" s="1"/>
  <c r="H160" i="3" s="1"/>
  <c r="A161" i="3" s="1"/>
  <c r="F161" i="3" l="1"/>
  <c r="B161" i="3"/>
  <c r="C161" i="3"/>
  <c r="G161" i="3" s="1"/>
  <c r="H161" i="3" s="1"/>
  <c r="A162" i="3" s="1"/>
  <c r="F162" i="3" l="1"/>
  <c r="B162" i="3"/>
  <c r="C162" i="3"/>
  <c r="G162" i="3" s="1"/>
  <c r="H162" i="3" s="1"/>
  <c r="A163" i="3" s="1"/>
  <c r="C163" i="3" l="1"/>
  <c r="B163" i="3"/>
  <c r="F163" i="3"/>
  <c r="G163" i="3" l="1"/>
  <c r="H163" i="3" s="1"/>
  <c r="A164" i="3" s="1"/>
  <c r="B164" i="3" l="1"/>
  <c r="C164" i="3"/>
  <c r="F164" i="3"/>
  <c r="G164" i="3" s="1"/>
  <c r="H164" i="3" s="1"/>
  <c r="A165" i="3" s="1"/>
  <c r="B165" i="3" l="1"/>
  <c r="C165" i="3"/>
  <c r="F165" i="3"/>
  <c r="G165" i="3" s="1"/>
  <c r="H165" i="3" s="1"/>
  <c r="A166" i="3" s="1"/>
  <c r="C166" i="3" l="1"/>
  <c r="B166" i="3"/>
  <c r="F166" i="3"/>
  <c r="G166" i="3" l="1"/>
  <c r="H166" i="3" s="1"/>
  <c r="A167" i="3" s="1"/>
  <c r="F167" i="3" l="1"/>
  <c r="B167" i="3"/>
  <c r="C167" i="3"/>
  <c r="G167" i="3" s="1"/>
  <c r="H167" i="3" s="1"/>
  <c r="A168" i="3" s="1"/>
  <c r="C168" i="3" l="1"/>
  <c r="F168" i="3"/>
  <c r="G168" i="3" s="1"/>
  <c r="H168" i="3" s="1"/>
  <c r="A169" i="3" s="1"/>
  <c r="B168" i="3"/>
  <c r="F169" i="3" l="1"/>
  <c r="B169" i="3"/>
  <c r="C169" i="3"/>
  <c r="G169" i="3" s="1"/>
  <c r="H169" i="3" s="1"/>
  <c r="A170" i="3" s="1"/>
  <c r="C170" i="3" l="1"/>
  <c r="F170" i="3"/>
  <c r="B170" i="3"/>
  <c r="G170" i="3"/>
  <c r="H170" i="3" s="1"/>
  <c r="A171" i="3" s="1"/>
  <c r="C171" i="3" l="1"/>
  <c r="F171" i="3"/>
  <c r="B171" i="3"/>
  <c r="G171" i="3" l="1"/>
  <c r="H171" i="3" s="1"/>
  <c r="A172" i="3" s="1"/>
  <c r="F172" i="3" s="1"/>
  <c r="B172" i="3"/>
  <c r="C172" i="3"/>
  <c r="G172" i="3" l="1"/>
  <c r="H172" i="3" s="1"/>
  <c r="A173" i="3" s="1"/>
  <c r="C173" i="3" s="1"/>
  <c r="F173" i="3"/>
  <c r="B173" i="3"/>
  <c r="G173" i="3" l="1"/>
  <c r="H173" i="3" s="1"/>
  <c r="A174" i="3" s="1"/>
  <c r="F174" i="3" l="1"/>
  <c r="C174" i="3"/>
  <c r="G174" i="3" s="1"/>
  <c r="H174" i="3" s="1"/>
  <c r="A175" i="3" s="1"/>
  <c r="B174" i="3"/>
  <c r="B175" i="3" l="1"/>
  <c r="C175" i="3"/>
  <c r="F175" i="3"/>
  <c r="G175" i="3" l="1"/>
  <c r="H175" i="3" s="1"/>
  <c r="A176" i="3" s="1"/>
  <c r="B176" i="3" s="1"/>
  <c r="F176" i="3"/>
  <c r="C176" i="3"/>
  <c r="G176" i="3" s="1"/>
  <c r="H176" i="3" s="1"/>
  <c r="A177" i="3" s="1"/>
  <c r="B177" i="3" l="1"/>
  <c r="F177" i="3"/>
  <c r="C177" i="3"/>
  <c r="G177" i="3" s="1"/>
  <c r="H177" i="3" s="1"/>
  <c r="A178" i="3" s="1"/>
  <c r="C178" i="3" l="1"/>
  <c r="F178" i="3"/>
  <c r="B178" i="3"/>
  <c r="G178" i="3" l="1"/>
  <c r="H178" i="3" s="1"/>
  <c r="A179" i="3" s="1"/>
  <c r="B179" i="3" s="1"/>
  <c r="C179" i="3"/>
  <c r="F179" i="3"/>
  <c r="G179" i="3" l="1"/>
  <c r="H179" i="3" s="1"/>
  <c r="A180" i="3" s="1"/>
  <c r="C180" i="3" l="1"/>
  <c r="F180" i="3"/>
  <c r="B180" i="3"/>
  <c r="G180" i="3" l="1"/>
  <c r="H180" i="3" s="1"/>
  <c r="A181" i="3" s="1"/>
  <c r="F181" i="3" l="1"/>
  <c r="C181" i="3"/>
  <c r="B181" i="3"/>
  <c r="G181" i="3" l="1"/>
  <c r="H181" i="3" s="1"/>
  <c r="A182" i="3" s="1"/>
  <c r="F182" i="3" l="1"/>
  <c r="B182" i="3"/>
  <c r="C182" i="3"/>
  <c r="G182" i="3" s="1"/>
  <c r="H182" i="3" s="1"/>
  <c r="A183" i="3" s="1"/>
  <c r="F183" i="3" l="1"/>
  <c r="B183" i="3"/>
  <c r="C183" i="3"/>
  <c r="G183" i="3" s="1"/>
  <c r="H183" i="3" s="1"/>
  <c r="A184" i="3" s="1"/>
  <c r="F184" i="3" l="1"/>
  <c r="B184" i="3"/>
  <c r="C184" i="3"/>
  <c r="G184" i="3" s="1"/>
  <c r="H184" i="3" s="1"/>
  <c r="A185" i="3" s="1"/>
  <c r="B185" i="3" l="1"/>
  <c r="C185" i="3"/>
  <c r="F185" i="3"/>
  <c r="G185" i="3" s="1"/>
  <c r="H185" i="3" s="1"/>
  <c r="A186" i="3" s="1"/>
  <c r="F186" i="3" l="1"/>
  <c r="C186" i="3"/>
  <c r="G186" i="3" s="1"/>
  <c r="H186" i="3" s="1"/>
  <c r="A187" i="3" s="1"/>
  <c r="B186" i="3"/>
  <c r="F187" i="3" l="1"/>
  <c r="C187" i="3"/>
  <c r="G187" i="3" s="1"/>
  <c r="H187" i="3" s="1"/>
  <c r="A188" i="3" s="1"/>
  <c r="B187" i="3"/>
  <c r="F188" i="3" l="1"/>
  <c r="C188" i="3"/>
  <c r="G188" i="3" s="1"/>
  <c r="H188" i="3" s="1"/>
  <c r="A189" i="3" s="1"/>
  <c r="B188" i="3"/>
  <c r="C189" i="3" l="1"/>
  <c r="F189" i="3"/>
  <c r="G189" i="3" s="1"/>
  <c r="H189" i="3" s="1"/>
  <c r="A190" i="3" s="1"/>
  <c r="B189" i="3"/>
  <c r="F190" i="3" l="1"/>
  <c r="B190" i="3"/>
  <c r="C190" i="3"/>
  <c r="G190" i="3" s="1"/>
  <c r="H190" i="3" s="1"/>
  <c r="A191" i="3" s="1"/>
  <c r="C191" i="3" l="1"/>
  <c r="B191" i="3"/>
  <c r="F191" i="3"/>
  <c r="G191" i="3"/>
  <c r="H191" i="3" s="1"/>
  <c r="A192" i="3" s="1"/>
  <c r="F192" i="3" l="1"/>
  <c r="B192" i="3"/>
  <c r="C192" i="3"/>
  <c r="G192" i="3" s="1"/>
  <c r="H192" i="3" s="1"/>
  <c r="A193" i="3" s="1"/>
  <c r="B193" i="3" l="1"/>
  <c r="F193" i="3"/>
  <c r="C193" i="3"/>
  <c r="G193" i="3" l="1"/>
  <c r="H193" i="3" s="1"/>
  <c r="A194" i="3" s="1"/>
  <c r="C194" i="3" s="1"/>
  <c r="F194" i="3" l="1"/>
  <c r="B194" i="3"/>
  <c r="G194" i="3"/>
  <c r="H194" i="3" s="1"/>
  <c r="A195" i="3" s="1"/>
  <c r="C195" i="3" s="1"/>
  <c r="F195" i="3"/>
  <c r="B195" i="3" l="1"/>
  <c r="G195" i="3"/>
  <c r="H195" i="3" s="1"/>
  <c r="A196" i="3" s="1"/>
  <c r="C196" i="3" l="1"/>
  <c r="F196" i="3"/>
  <c r="B196" i="3"/>
  <c r="G196" i="3" l="1"/>
  <c r="H196" i="3" s="1"/>
  <c r="A197" i="3" s="1"/>
  <c r="B197" i="3" l="1"/>
  <c r="C197" i="3"/>
  <c r="F197" i="3"/>
  <c r="G197" i="3" l="1"/>
  <c r="H197" i="3" s="1"/>
  <c r="A198" i="3" s="1"/>
  <c r="C198" i="3" l="1"/>
  <c r="F198" i="3"/>
  <c r="B198" i="3"/>
  <c r="G198" i="3"/>
  <c r="H198" i="3" s="1"/>
  <c r="A199" i="3" s="1"/>
  <c r="F199" i="3" l="1"/>
  <c r="B199" i="3"/>
  <c r="C199" i="3"/>
  <c r="G199" i="3" s="1"/>
  <c r="H199" i="3" s="1"/>
  <c r="A200" i="3" s="1"/>
  <c r="B200" i="3" l="1"/>
  <c r="F200" i="3"/>
  <c r="C200" i="3"/>
  <c r="G200" i="3" s="1"/>
  <c r="H200" i="3" s="1"/>
  <c r="A201" i="3" s="1"/>
  <c r="B201" i="3" l="1"/>
  <c r="C201" i="3"/>
  <c r="F201" i="3"/>
  <c r="G201" i="3" s="1"/>
  <c r="H201" i="3" s="1"/>
  <c r="A202" i="3" s="1"/>
  <c r="F202" i="3" l="1"/>
  <c r="B202" i="3"/>
  <c r="C202" i="3"/>
  <c r="G202" i="3" s="1"/>
  <c r="H202" i="3" s="1"/>
  <c r="A203" i="3" s="1"/>
  <c r="F203" i="3" l="1"/>
  <c r="B203" i="3"/>
  <c r="C203" i="3"/>
  <c r="G203" i="3" s="1"/>
  <c r="H203" i="3" s="1"/>
  <c r="A204" i="3" s="1"/>
  <c r="F204" i="3" l="1"/>
  <c r="C204" i="3"/>
  <c r="G204" i="3" s="1"/>
  <c r="H204" i="3" s="1"/>
  <c r="A205" i="3" s="1"/>
  <c r="B204" i="3"/>
  <c r="B205" i="3" l="1"/>
  <c r="C205" i="3"/>
  <c r="F205" i="3"/>
  <c r="G205" i="3" s="1"/>
  <c r="H205" i="3" s="1"/>
  <c r="A206" i="3" s="1"/>
  <c r="F206" i="3" l="1"/>
  <c r="C206" i="3"/>
  <c r="G206" i="3" s="1"/>
  <c r="H206" i="3" s="1"/>
  <c r="A207" i="3" s="1"/>
  <c r="B206" i="3"/>
  <c r="F207" i="3" l="1"/>
  <c r="C207" i="3"/>
  <c r="G207" i="3" s="1"/>
  <c r="H207" i="3" s="1"/>
  <c r="A208" i="3" s="1"/>
  <c r="B207" i="3"/>
  <c r="F208" i="3" l="1"/>
  <c r="C208" i="3"/>
  <c r="G208" i="3" s="1"/>
  <c r="H208" i="3" s="1"/>
  <c r="A209" i="3" s="1"/>
  <c r="B208" i="3"/>
  <c r="F209" i="3" l="1"/>
  <c r="C209" i="3"/>
  <c r="G209" i="3" s="1"/>
  <c r="H209" i="3" s="1"/>
  <c r="A210" i="3" s="1"/>
  <c r="B209" i="3"/>
  <c r="B210" i="3" l="1"/>
  <c r="F210" i="3"/>
  <c r="C210" i="3"/>
  <c r="G210" i="3" s="1"/>
  <c r="H210" i="3" s="1"/>
  <c r="A211" i="3" s="1"/>
  <c r="C211" i="3" l="1"/>
  <c r="F211" i="3"/>
  <c r="G211" i="3" s="1"/>
  <c r="H211" i="3" s="1"/>
  <c r="A212" i="3" s="1"/>
  <c r="B211" i="3"/>
  <c r="C212" i="3" l="1"/>
  <c r="F212" i="3"/>
  <c r="B212" i="3"/>
  <c r="G212" i="3" l="1"/>
  <c r="H212" i="3" s="1"/>
  <c r="A213" i="3" s="1"/>
  <c r="F213" i="3" l="1"/>
  <c r="C213" i="3"/>
  <c r="G213" i="3" s="1"/>
  <c r="H213" i="3" s="1"/>
  <c r="A214" i="3" s="1"/>
  <c r="B213" i="3"/>
  <c r="C214" i="3" l="1"/>
  <c r="B214" i="3"/>
  <c r="F214" i="3"/>
  <c r="G214" i="3" s="1"/>
  <c r="H214" i="3" s="1"/>
  <c r="A215" i="3" s="1"/>
  <c r="C215" i="3" l="1"/>
  <c r="B215" i="3"/>
  <c r="F215" i="3"/>
  <c r="G215" i="3" s="1"/>
  <c r="H215" i="3" s="1"/>
  <c r="A216" i="3" s="1"/>
  <c r="C216" i="3" l="1"/>
  <c r="B216" i="3"/>
  <c r="F216" i="3"/>
  <c r="G216" i="3" s="1"/>
  <c r="H216" i="3" s="1"/>
  <c r="A217" i="3" s="1"/>
  <c r="B217" i="3" l="1"/>
  <c r="C217" i="3"/>
  <c r="F217" i="3"/>
  <c r="G217" i="3" s="1"/>
  <c r="H217" i="3" s="1"/>
  <c r="A218" i="3" s="1"/>
  <c r="C218" i="3" l="1"/>
  <c r="B218" i="3"/>
  <c r="F218" i="3"/>
  <c r="G218" i="3" s="1"/>
  <c r="H218" i="3" s="1"/>
  <c r="A219" i="3" s="1"/>
  <c r="B219" i="3" l="1"/>
  <c r="F219" i="3"/>
  <c r="C219" i="3"/>
  <c r="G219" i="3" s="1"/>
  <c r="H219" i="3" s="1"/>
  <c r="A220" i="3" s="1"/>
  <c r="B220" i="3" l="1"/>
  <c r="C220" i="3"/>
  <c r="F220" i="3"/>
  <c r="G220" i="3" l="1"/>
  <c r="H220" i="3" s="1"/>
  <c r="A221" i="3" s="1"/>
  <c r="C221" i="3"/>
  <c r="F221" i="3"/>
  <c r="B221" i="3"/>
  <c r="G221" i="3" l="1"/>
  <c r="H221" i="3" s="1"/>
  <c r="A222" i="3" s="1"/>
  <c r="B222" i="3" s="1"/>
  <c r="F222" i="3"/>
  <c r="C222" i="3"/>
  <c r="G222" i="3" l="1"/>
  <c r="H222" i="3" s="1"/>
  <c r="A223" i="3" s="1"/>
  <c r="B223" i="3"/>
  <c r="F223" i="3"/>
  <c r="C223" i="3"/>
  <c r="G223" i="3" l="1"/>
  <c r="H223" i="3" s="1"/>
  <c r="A224" i="3" s="1"/>
  <c r="F224" i="3" s="1"/>
  <c r="C224" i="3" l="1"/>
  <c r="B224" i="3"/>
  <c r="G224" i="3"/>
  <c r="H224" i="3" s="1"/>
  <c r="A225" i="3" s="1"/>
  <c r="C225" i="3" s="1"/>
  <c r="F225" i="3" l="1"/>
  <c r="G225" i="3" s="1"/>
  <c r="H225" i="3" s="1"/>
  <c r="A226" i="3" s="1"/>
  <c r="B225" i="3"/>
  <c r="C226" i="3" l="1"/>
  <c r="F226" i="3"/>
  <c r="B226" i="3"/>
  <c r="G226" i="3" l="1"/>
  <c r="H226" i="3" s="1"/>
  <c r="A227" i="3" s="1"/>
  <c r="B227" i="3" l="1"/>
  <c r="C227" i="3"/>
  <c r="F227" i="3"/>
  <c r="G227" i="3" l="1"/>
  <c r="H227" i="3" s="1"/>
  <c r="A228" i="3" s="1"/>
  <c r="F228" i="3" l="1"/>
  <c r="C228" i="3"/>
  <c r="G228" i="3" s="1"/>
  <c r="H228" i="3" s="1"/>
  <c r="A229" i="3" s="1"/>
  <c r="B228" i="3"/>
  <c r="F229" i="3" l="1"/>
  <c r="C229" i="3"/>
  <c r="G229" i="3" s="1"/>
  <c r="H229" i="3" s="1"/>
  <c r="A230" i="3" s="1"/>
  <c r="B229" i="3"/>
  <c r="B230" i="3" l="1"/>
  <c r="C230" i="3"/>
  <c r="F230" i="3"/>
  <c r="G230" i="3" l="1"/>
  <c r="H230" i="3" s="1"/>
  <c r="A231" i="3" s="1"/>
  <c r="F231" i="3" l="1"/>
  <c r="C231" i="3"/>
  <c r="G231" i="3" s="1"/>
  <c r="H231" i="3" s="1"/>
  <c r="A232" i="3" s="1"/>
  <c r="B231" i="3"/>
  <c r="F232" i="3" l="1"/>
  <c r="C232" i="3"/>
  <c r="G232" i="3" s="1"/>
  <c r="H232" i="3" s="1"/>
  <c r="A233" i="3" s="1"/>
  <c r="B232" i="3"/>
  <c r="B233" i="3" l="1"/>
  <c r="F233" i="3"/>
  <c r="C233" i="3"/>
  <c r="G233" i="3" s="1"/>
  <c r="H233" i="3" s="1"/>
  <c r="A234" i="3" s="1"/>
  <c r="F234" i="3" l="1"/>
  <c r="C234" i="3"/>
  <c r="B234" i="3"/>
  <c r="G234" i="3" l="1"/>
  <c r="H234" i="3" s="1"/>
  <c r="A235" i="3" s="1"/>
  <c r="C235" i="3" s="1"/>
  <c r="F235" i="3" l="1"/>
  <c r="B235" i="3"/>
  <c r="G235" i="3"/>
  <c r="H235" i="3" s="1"/>
  <c r="A236" i="3" s="1"/>
  <c r="F236" i="3" l="1"/>
  <c r="B236" i="3"/>
  <c r="C236" i="3"/>
  <c r="G236" i="3" s="1"/>
  <c r="H236" i="3" s="1"/>
  <c r="A237" i="3" s="1"/>
  <c r="F237" i="3" l="1"/>
  <c r="C237" i="3"/>
  <c r="G237" i="3" s="1"/>
  <c r="H237" i="3" s="1"/>
  <c r="A238" i="3" s="1"/>
  <c r="B237" i="3"/>
  <c r="F238" i="3" l="1"/>
  <c r="B238" i="3"/>
  <c r="C238" i="3"/>
  <c r="G238" i="3" s="1"/>
  <c r="H238" i="3" s="1"/>
  <c r="A239" i="3" s="1"/>
  <c r="F239" i="3" l="1"/>
  <c r="C239" i="3"/>
  <c r="B239" i="3"/>
  <c r="G239" i="3" l="1"/>
  <c r="H239" i="3" s="1"/>
  <c r="A240" i="3" s="1"/>
  <c r="F240" i="3" s="1"/>
  <c r="C240" i="3" l="1"/>
  <c r="G240" i="3" s="1"/>
  <c r="H240" i="3" s="1"/>
  <c r="A241" i="3" s="1"/>
  <c r="C241" i="3" s="1"/>
  <c r="B240" i="3"/>
  <c r="B241" i="3" l="1"/>
  <c r="F241" i="3"/>
  <c r="G241" i="3"/>
  <c r="H241" i="3" s="1"/>
  <c r="A242" i="3" s="1"/>
  <c r="F242" i="3" s="1"/>
  <c r="B242" i="3" l="1"/>
  <c r="C242" i="3"/>
  <c r="G242" i="3" s="1"/>
  <c r="H242" i="3" s="1"/>
  <c r="A243" i="3" s="1"/>
  <c r="F243" i="3" s="1"/>
  <c r="C243" i="3" l="1"/>
  <c r="G243" i="3" s="1"/>
  <c r="H243" i="3" s="1"/>
  <c r="A244" i="3" s="1"/>
  <c r="F244" i="3" s="1"/>
  <c r="B243" i="3"/>
  <c r="B244" i="3" l="1"/>
  <c r="C244" i="3"/>
  <c r="G244" i="3" s="1"/>
  <c r="H244" i="3" s="1"/>
  <c r="A245" i="3" s="1"/>
  <c r="F245" i="3" s="1"/>
  <c r="C245" i="3" l="1"/>
  <c r="G245" i="3" s="1"/>
  <c r="H245" i="3" s="1"/>
  <c r="A246" i="3" s="1"/>
  <c r="B246" i="3" s="1"/>
  <c r="B245" i="3"/>
  <c r="F246" i="3" l="1"/>
  <c r="C246" i="3"/>
  <c r="G246" i="3" s="1"/>
  <c r="H246" i="3" s="1"/>
  <c r="A247" i="3" s="1"/>
  <c r="B247" i="3" s="1"/>
  <c r="C247" i="3" l="1"/>
  <c r="F247" i="3"/>
  <c r="G247" i="3" l="1"/>
  <c r="H247" i="3" s="1"/>
  <c r="A248" i="3" s="1"/>
  <c r="F248" i="3" s="1"/>
  <c r="B248" i="3"/>
  <c r="C248" i="3"/>
  <c r="G248" i="3" s="1"/>
  <c r="H248" i="3" s="1"/>
  <c r="A249" i="3" s="1"/>
  <c r="F249" i="3" s="1"/>
  <c r="B249" i="3" l="1"/>
  <c r="C249" i="3"/>
  <c r="G249" i="3" s="1"/>
  <c r="H249" i="3" s="1"/>
  <c r="A250" i="3" s="1"/>
  <c r="B250" i="3" s="1"/>
  <c r="C250" i="3" l="1"/>
  <c r="F250" i="3"/>
  <c r="G250" i="3" l="1"/>
  <c r="H250" i="3" s="1"/>
  <c r="A251" i="3" s="1"/>
  <c r="C251" i="3"/>
  <c r="B251" i="3" l="1"/>
  <c r="F251" i="3"/>
  <c r="G251" i="3" s="1"/>
  <c r="H251" i="3" s="1"/>
  <c r="A252" i="3" s="1"/>
  <c r="F252" i="3" s="1"/>
  <c r="B252" i="3" l="1"/>
  <c r="C252" i="3"/>
  <c r="G252" i="3" s="1"/>
  <c r="H252" i="3" s="1"/>
  <c r="A253" i="3" s="1"/>
  <c r="C253" i="3" l="1"/>
  <c r="F253" i="3"/>
  <c r="G253" i="3" s="1"/>
  <c r="H253" i="3" s="1"/>
  <c r="A254" i="3" s="1"/>
  <c r="B253" i="3"/>
  <c r="C254" i="3"/>
  <c r="B254" i="3"/>
  <c r="F254" i="3"/>
  <c r="G254" i="3" l="1"/>
  <c r="H254" i="3" s="1"/>
  <c r="A255" i="3" s="1"/>
  <c r="F255" i="3" l="1"/>
  <c r="B255" i="3"/>
  <c r="C255" i="3"/>
  <c r="G255" i="3" s="1"/>
  <c r="H255" i="3" s="1"/>
  <c r="A256" i="3" s="1"/>
  <c r="F256" i="3" l="1"/>
  <c r="C256" i="3"/>
  <c r="G256" i="3" s="1"/>
  <c r="H256" i="3" s="1"/>
  <c r="A257" i="3" s="1"/>
  <c r="B256" i="3"/>
  <c r="F257" i="3" l="1"/>
  <c r="B257" i="3"/>
  <c r="C257" i="3"/>
  <c r="G257" i="3" s="1"/>
  <c r="H257" i="3" s="1"/>
  <c r="A258" i="3" s="1"/>
  <c r="F258" i="3" l="1"/>
  <c r="C258" i="3"/>
  <c r="G258" i="3" s="1"/>
  <c r="H258" i="3" s="1"/>
  <c r="A259" i="3" s="1"/>
  <c r="B258" i="3"/>
  <c r="C259" i="3" l="1"/>
  <c r="F259" i="3"/>
  <c r="B259" i="3"/>
  <c r="G259" i="3" l="1"/>
  <c r="H259" i="3" s="1"/>
  <c r="A260" i="3" s="1"/>
  <c r="F260" i="3" s="1"/>
  <c r="C260" i="3" l="1"/>
  <c r="B260" i="3"/>
  <c r="G260" i="3"/>
  <c r="H260" i="3" s="1"/>
  <c r="A261" i="3" s="1"/>
  <c r="F261" i="3" s="1"/>
  <c r="B261" i="3" l="1"/>
  <c r="C261" i="3"/>
  <c r="G261" i="3" s="1"/>
  <c r="H261" i="3" s="1"/>
  <c r="A262" i="3" s="1"/>
  <c r="F262" i="3" s="1"/>
  <c r="B262" i="3" l="1"/>
  <c r="C262" i="3"/>
  <c r="G262" i="3" s="1"/>
  <c r="H262" i="3" s="1"/>
  <c r="A263" i="3" s="1"/>
  <c r="F263" i="3" s="1"/>
  <c r="C263" i="3" l="1"/>
  <c r="G263" i="3" s="1"/>
  <c r="H263" i="3" s="1"/>
  <c r="A264" i="3" s="1"/>
  <c r="C264" i="3" s="1"/>
  <c r="B263" i="3"/>
  <c r="B264" i="3" l="1"/>
  <c r="F264" i="3"/>
  <c r="G264" i="3" s="1"/>
  <c r="H264" i="3" s="1"/>
  <c r="A265" i="3" s="1"/>
  <c r="F265" i="3" s="1"/>
  <c r="C265" i="3" l="1"/>
  <c r="B265" i="3"/>
  <c r="G265" i="3"/>
  <c r="H265" i="3" s="1"/>
  <c r="A266" i="3" s="1"/>
  <c r="F266" i="3" s="1"/>
  <c r="C266" i="3" l="1"/>
  <c r="B266" i="3"/>
  <c r="G266" i="3"/>
  <c r="H266" i="3" s="1"/>
  <c r="A267" i="3" s="1"/>
  <c r="F267" i="3" s="1"/>
  <c r="C267" i="3" l="1"/>
  <c r="B267" i="3"/>
  <c r="G267" i="3"/>
  <c r="H267" i="3" s="1"/>
  <c r="A268" i="3" s="1"/>
  <c r="B268" i="3" s="1"/>
  <c r="C268" i="3" l="1"/>
  <c r="F268" i="3"/>
  <c r="G268" i="3" l="1"/>
  <c r="H268" i="3" s="1"/>
  <c r="A269" i="3" s="1"/>
  <c r="B269" i="3" s="1"/>
  <c r="F269" i="3" l="1"/>
  <c r="C269" i="3"/>
  <c r="G269" i="3" s="1"/>
  <c r="H269" i="3" s="1"/>
  <c r="A270" i="3" s="1"/>
  <c r="C270" i="3" s="1"/>
  <c r="F270" i="3" l="1"/>
  <c r="B270" i="3"/>
  <c r="G270" i="3"/>
  <c r="H270" i="3" s="1"/>
  <c r="A271" i="3" s="1"/>
  <c r="B271" i="3" l="1"/>
  <c r="C271" i="3"/>
  <c r="F271" i="3"/>
  <c r="G271" i="3" s="1"/>
  <c r="H271" i="3" s="1"/>
  <c r="A272" i="3" s="1"/>
  <c r="F272" i="3" l="1"/>
  <c r="C272" i="3"/>
  <c r="B272" i="3"/>
  <c r="G272" i="3" l="1"/>
  <c r="H272" i="3" s="1"/>
  <c r="A273" i="3" s="1"/>
  <c r="C273" i="3"/>
  <c r="B273" i="3"/>
  <c r="F273" i="3"/>
  <c r="G273" i="3" l="1"/>
  <c r="H273" i="3" s="1"/>
  <c r="A274" i="3" s="1"/>
  <c r="C274" i="3" l="1"/>
  <c r="F274" i="3"/>
  <c r="B274" i="3"/>
  <c r="G274" i="3" l="1"/>
  <c r="H274" i="3" s="1"/>
  <c r="A275" i="3" s="1"/>
  <c r="F275" i="3" l="1"/>
  <c r="B275" i="3"/>
  <c r="C275" i="3"/>
  <c r="G275" i="3" l="1"/>
  <c r="H275" i="3" s="1"/>
  <c r="A276" i="3" s="1"/>
  <c r="F276" i="3" s="1"/>
  <c r="C276" i="3" l="1"/>
  <c r="G276" i="3" s="1"/>
  <c r="H276" i="3" s="1"/>
  <c r="A277" i="3" s="1"/>
  <c r="F277" i="3" s="1"/>
  <c r="B276" i="3"/>
  <c r="C277" i="3" l="1"/>
  <c r="G277" i="3" s="1"/>
  <c r="H277" i="3" s="1"/>
  <c r="A278" i="3" s="1"/>
  <c r="C278" i="3" s="1"/>
  <c r="B277" i="3"/>
  <c r="F278" i="3" l="1"/>
  <c r="G278" i="3" s="1"/>
  <c r="H278" i="3" s="1"/>
  <c r="A279" i="3" s="1"/>
  <c r="B278" i="3"/>
  <c r="B279" i="3" l="1"/>
  <c r="F279" i="3"/>
  <c r="C279" i="3"/>
  <c r="G279" i="3" s="1"/>
  <c r="H279" i="3" s="1"/>
  <c r="A280" i="3" s="1"/>
  <c r="C280" i="3" l="1"/>
  <c r="B280" i="3"/>
  <c r="F280" i="3"/>
  <c r="G280" i="3" l="1"/>
  <c r="H280" i="3" s="1"/>
  <c r="A281" i="3" s="1"/>
  <c r="F281" i="3" l="1"/>
  <c r="C281" i="3"/>
  <c r="B281" i="3"/>
  <c r="G281" i="3" l="1"/>
  <c r="H281" i="3" s="1"/>
  <c r="A282" i="3" s="1"/>
  <c r="C282" i="3" l="1"/>
  <c r="B282" i="3"/>
  <c r="F282" i="3"/>
  <c r="G282" i="3" l="1"/>
  <c r="H282" i="3" s="1"/>
  <c r="A283" i="3" s="1"/>
  <c r="C283" i="3" l="1"/>
  <c r="F283" i="3"/>
  <c r="B283" i="3"/>
  <c r="G283" i="3" l="1"/>
  <c r="H283" i="3" s="1"/>
  <c r="A284" i="3" s="1"/>
  <c r="F284" i="3"/>
  <c r="C284" i="3"/>
  <c r="B284" i="3"/>
  <c r="G284" i="3" l="1"/>
  <c r="H284" i="3" s="1"/>
  <c r="A285" i="3" s="1"/>
  <c r="C285" i="3" l="1"/>
  <c r="F285" i="3"/>
  <c r="B285" i="3"/>
  <c r="G285" i="3" l="1"/>
  <c r="H285" i="3" s="1"/>
  <c r="A286" i="3" s="1"/>
  <c r="C286" i="3" l="1"/>
  <c r="F286" i="3"/>
  <c r="B286" i="3"/>
  <c r="G286" i="3" l="1"/>
  <c r="H286" i="3" s="1"/>
  <c r="A287" i="3" s="1"/>
  <c r="B287" i="3" s="1"/>
  <c r="F287" i="3" l="1"/>
  <c r="C287" i="3"/>
  <c r="G287" i="3" s="1"/>
  <c r="H287" i="3" s="1"/>
  <c r="A288" i="3" s="1"/>
  <c r="F288" i="3" s="1"/>
  <c r="B288" i="3" l="1"/>
  <c r="C288" i="3"/>
  <c r="G288" i="3"/>
  <c r="H288" i="3" s="1"/>
  <c r="A289" i="3" s="1"/>
  <c r="C289" i="3" s="1"/>
  <c r="B289" i="3" l="1"/>
  <c r="F289" i="3"/>
  <c r="G289" i="3"/>
  <c r="H289" i="3" s="1"/>
  <c r="A290" i="3" s="1"/>
  <c r="F290" i="3" s="1"/>
  <c r="B290" i="3" l="1"/>
  <c r="C290" i="3"/>
  <c r="G290" i="3"/>
  <c r="H290" i="3" s="1"/>
  <c r="A291" i="3" s="1"/>
  <c r="C291" i="3" s="1"/>
  <c r="F291" i="3" l="1"/>
  <c r="G291" i="3" s="1"/>
  <c r="H291" i="3" s="1"/>
  <c r="A292" i="3" s="1"/>
  <c r="B292" i="3" s="1"/>
  <c r="B291" i="3"/>
  <c r="C292" i="3" l="1"/>
  <c r="F292" i="3"/>
  <c r="G292" i="3" l="1"/>
  <c r="H292" i="3" s="1"/>
  <c r="A293" i="3" s="1"/>
  <c r="F293" i="3" s="1"/>
  <c r="B293" i="3"/>
  <c r="C293" i="3"/>
  <c r="G293" i="3" s="1"/>
  <c r="H293" i="3" s="1"/>
  <c r="A294" i="3" s="1"/>
  <c r="F294" i="3" s="1"/>
  <c r="B294" i="3" l="1"/>
  <c r="C294" i="3"/>
  <c r="G294" i="3" s="1"/>
  <c r="H294" i="3" s="1"/>
  <c r="A295" i="3" s="1"/>
  <c r="B295" i="3" s="1"/>
  <c r="F295" i="3" l="1"/>
  <c r="C295" i="3"/>
  <c r="G295" i="3" l="1"/>
  <c r="H295" i="3" s="1"/>
  <c r="A296" i="3" s="1"/>
  <c r="F296" i="3" s="1"/>
  <c r="C296" i="3" l="1"/>
  <c r="G296" i="3" s="1"/>
  <c r="H296" i="3" s="1"/>
  <c r="A297" i="3" s="1"/>
  <c r="F297" i="3" s="1"/>
  <c r="B296" i="3"/>
  <c r="C297" i="3"/>
  <c r="G297" i="3" s="1"/>
  <c r="H297" i="3" s="1"/>
  <c r="A298" i="3" s="1"/>
  <c r="F298" i="3" s="1"/>
  <c r="B297" i="3"/>
  <c r="B298" i="3" l="1"/>
  <c r="C298" i="3"/>
  <c r="G298" i="3" s="1"/>
  <c r="H298" i="3" s="1"/>
  <c r="A299" i="3" s="1"/>
  <c r="C299" i="3" s="1"/>
  <c r="B299" i="3" l="1"/>
  <c r="F299" i="3"/>
  <c r="G299" i="3" s="1"/>
  <c r="H299" i="3" s="1"/>
  <c r="A300" i="3" s="1"/>
  <c r="B300" i="3" l="1"/>
  <c r="C300" i="3"/>
  <c r="F300" i="3"/>
  <c r="G300" i="3" l="1"/>
  <c r="H300" i="3" s="1"/>
  <c r="A301" i="3" s="1"/>
  <c r="B301" i="3" s="1"/>
  <c r="F301" i="3"/>
  <c r="C301" i="3" l="1"/>
  <c r="G301" i="3"/>
  <c r="H301" i="3" s="1"/>
  <c r="A302" i="3" s="1"/>
  <c r="C302" i="3" l="1"/>
  <c r="F302" i="3"/>
  <c r="G302" i="3" s="1"/>
  <c r="H302" i="3" s="1"/>
  <c r="A303" i="3" s="1"/>
  <c r="B302" i="3"/>
  <c r="F303" i="3" l="1"/>
  <c r="C303" i="3"/>
  <c r="B303" i="3"/>
  <c r="G303" i="3" l="1"/>
  <c r="H303" i="3" s="1"/>
  <c r="A304" i="3" s="1"/>
  <c r="F304" i="3" l="1"/>
  <c r="B304" i="3"/>
  <c r="C304" i="3"/>
  <c r="G304" i="3" s="1"/>
  <c r="H304" i="3" s="1"/>
  <c r="A305" i="3" s="1"/>
  <c r="F305" i="3" l="1"/>
  <c r="C305" i="3"/>
  <c r="G305" i="3" s="1"/>
  <c r="H305" i="3" s="1"/>
  <c r="A306" i="3" s="1"/>
  <c r="B305" i="3"/>
  <c r="B306" i="3" l="1"/>
  <c r="C306" i="3"/>
  <c r="F306" i="3"/>
  <c r="G306" i="3" l="1"/>
  <c r="H306" i="3" s="1"/>
  <c r="A307" i="3" s="1"/>
  <c r="C307" i="3" l="1"/>
  <c r="F307" i="3"/>
  <c r="B307" i="3"/>
  <c r="G307" i="3" l="1"/>
  <c r="H307" i="3" s="1"/>
  <c r="A308" i="3" s="1"/>
  <c r="C308" i="3" l="1"/>
  <c r="B308" i="3"/>
  <c r="F308" i="3"/>
  <c r="G308" i="3" l="1"/>
  <c r="H308" i="3" s="1"/>
  <c r="A309" i="3" s="1"/>
  <c r="C309" i="3" l="1"/>
  <c r="F309" i="3"/>
  <c r="B309" i="3"/>
  <c r="G309" i="3" l="1"/>
  <c r="H309" i="3" s="1"/>
  <c r="A310" i="3" s="1"/>
  <c r="C310" i="3" l="1"/>
  <c r="F310" i="3"/>
  <c r="B310" i="3"/>
  <c r="G310" i="3" l="1"/>
  <c r="H310" i="3" s="1"/>
  <c r="A311" i="3" s="1"/>
  <c r="C311" i="3" l="1"/>
  <c r="F311" i="3"/>
  <c r="G311" i="3" s="1"/>
  <c r="H311" i="3" s="1"/>
  <c r="A312" i="3" s="1"/>
  <c r="B311" i="3"/>
  <c r="F312" i="3" l="1"/>
  <c r="B312" i="3"/>
  <c r="C312" i="3"/>
  <c r="G312" i="3" s="1"/>
  <c r="H312" i="3" s="1"/>
  <c r="A313" i="3" s="1"/>
  <c r="F313" i="3" l="1"/>
  <c r="B313" i="3"/>
  <c r="C313" i="3"/>
  <c r="G313" i="3" s="1"/>
  <c r="H313" i="3" s="1"/>
  <c r="A314" i="3" s="1"/>
  <c r="B314" i="3" l="1"/>
  <c r="F314" i="3"/>
  <c r="C314" i="3"/>
  <c r="G314" i="3" l="1"/>
  <c r="H314" i="3" s="1"/>
  <c r="A315" i="3" s="1"/>
  <c r="C315" i="3"/>
  <c r="B315" i="3"/>
  <c r="F315" i="3"/>
  <c r="G315" i="3" l="1"/>
  <c r="H315" i="3" s="1"/>
  <c r="A316" i="3" s="1"/>
  <c r="B316" i="3" l="1"/>
  <c r="F316" i="3"/>
  <c r="C316" i="3"/>
  <c r="G316" i="3" s="1"/>
  <c r="H316" i="3" s="1"/>
  <c r="A317" i="3" s="1"/>
  <c r="F317" i="3" l="1"/>
  <c r="B317" i="3"/>
  <c r="C317" i="3"/>
  <c r="G317" i="3" s="1"/>
  <c r="H317" i="3" s="1"/>
  <c r="A318" i="3" s="1"/>
  <c r="B318" i="3" l="1"/>
  <c r="C318" i="3"/>
  <c r="F318" i="3"/>
  <c r="G318" i="3" l="1"/>
  <c r="H318" i="3" s="1"/>
  <c r="A319" i="3" s="1"/>
  <c r="B319" i="3" l="1"/>
  <c r="F319" i="3"/>
  <c r="C319" i="3"/>
  <c r="G319" i="3" s="1"/>
  <c r="H319" i="3" s="1"/>
  <c r="A320" i="3" s="1"/>
  <c r="B320" i="3" l="1"/>
  <c r="F320" i="3"/>
  <c r="C320" i="3"/>
  <c r="G320" i="3" s="1"/>
  <c r="H320" i="3" s="1"/>
  <c r="A321" i="3" s="1"/>
  <c r="B321" i="3" l="1"/>
  <c r="C321" i="3"/>
  <c r="F321" i="3"/>
  <c r="G321" i="3" l="1"/>
  <c r="H321" i="3" s="1"/>
  <c r="A322" i="3" s="1"/>
  <c r="B322" i="3"/>
  <c r="F322" i="3"/>
  <c r="C322" i="3"/>
  <c r="G322" i="3" s="1"/>
  <c r="H322" i="3" s="1"/>
  <c r="A323" i="3" s="1"/>
  <c r="F323" i="3" l="1"/>
  <c r="C323" i="3"/>
  <c r="G323" i="3" s="1"/>
  <c r="H323" i="3" s="1"/>
  <c r="A324" i="3" s="1"/>
  <c r="B323" i="3"/>
  <c r="B324" i="3" l="1"/>
  <c r="F324" i="3"/>
  <c r="C324" i="3"/>
  <c r="G324" i="3" l="1"/>
  <c r="H324" i="3" s="1"/>
  <c r="A325" i="3" s="1"/>
  <c r="F325" i="3" l="1"/>
  <c r="B325" i="3"/>
  <c r="C325" i="3"/>
  <c r="G325" i="3" s="1"/>
  <c r="H325" i="3" s="1"/>
  <c r="A326" i="3" s="1"/>
  <c r="B326" i="3" l="1"/>
  <c r="C326" i="3"/>
  <c r="F326" i="3"/>
  <c r="G326" i="3" s="1"/>
  <c r="H326" i="3" s="1"/>
  <c r="A327" i="3" s="1"/>
  <c r="C327" i="3" l="1"/>
  <c r="F327" i="3"/>
  <c r="B327" i="3"/>
  <c r="G327" i="3" l="1"/>
  <c r="H327" i="3" s="1"/>
  <c r="A328" i="3" s="1"/>
  <c r="C328" i="3" s="1"/>
  <c r="F328" i="3" l="1"/>
  <c r="B328" i="3"/>
  <c r="G328" i="3"/>
  <c r="H328" i="3" s="1"/>
  <c r="A329" i="3" s="1"/>
  <c r="F329" i="3" l="1"/>
  <c r="B329" i="3"/>
  <c r="C329" i="3"/>
  <c r="G329" i="3" s="1"/>
  <c r="H329" i="3" s="1"/>
  <c r="A330" i="3" s="1"/>
  <c r="C330" i="3" l="1"/>
  <c r="F330" i="3"/>
  <c r="G330" i="3" s="1"/>
  <c r="H330" i="3" s="1"/>
  <c r="A331" i="3" s="1"/>
  <c r="B330" i="3"/>
  <c r="F331" i="3" l="1"/>
  <c r="B331" i="3"/>
  <c r="C331" i="3"/>
  <c r="G331" i="3" s="1"/>
  <c r="H331" i="3" s="1"/>
  <c r="A332" i="3" s="1"/>
  <c r="F332" i="3" l="1"/>
  <c r="B332" i="3"/>
  <c r="C332" i="3"/>
  <c r="G332" i="3" s="1"/>
  <c r="H332" i="3" s="1"/>
  <c r="A333" i="3" s="1"/>
  <c r="C333" i="3" l="1"/>
  <c r="F333" i="3"/>
  <c r="B333" i="3"/>
  <c r="G333" i="3" l="1"/>
  <c r="H333" i="3" s="1"/>
  <c r="A334" i="3" s="1"/>
  <c r="C334" i="3" l="1"/>
  <c r="F334" i="3"/>
  <c r="G334" i="3" s="1"/>
  <c r="H334" i="3" s="1"/>
  <c r="A335" i="3" s="1"/>
  <c r="B334" i="3"/>
  <c r="B335" i="3" l="1"/>
  <c r="C335" i="3"/>
  <c r="F335" i="3"/>
  <c r="G335" i="3" l="1"/>
  <c r="H335" i="3" s="1"/>
  <c r="A336" i="3" s="1"/>
  <c r="C336" i="3" l="1"/>
  <c r="F336" i="3"/>
  <c r="G336" i="3" s="1"/>
  <c r="H336" i="3" s="1"/>
  <c r="A337" i="3" s="1"/>
  <c r="B336" i="3"/>
  <c r="C337" i="3" l="1"/>
  <c r="F337" i="3"/>
  <c r="G337" i="3" s="1"/>
  <c r="H337" i="3" s="1"/>
  <c r="A338" i="3" s="1"/>
  <c r="B337" i="3"/>
  <c r="B338" i="3" l="1"/>
  <c r="C338" i="3"/>
  <c r="F338" i="3"/>
  <c r="G338" i="3" l="1"/>
  <c r="H338" i="3" s="1"/>
  <c r="A339" i="3" s="1"/>
  <c r="C339" i="3" l="1"/>
  <c r="B339" i="3"/>
  <c r="F339" i="3"/>
  <c r="G339" i="3" l="1"/>
  <c r="H339" i="3" s="1"/>
  <c r="A340" i="3" s="1"/>
  <c r="B340" i="3" l="1"/>
  <c r="F340" i="3"/>
  <c r="C340" i="3"/>
  <c r="G340" i="3" l="1"/>
  <c r="H340" i="3" s="1"/>
  <c r="A341" i="3" s="1"/>
  <c r="C341" i="3"/>
  <c r="F341" i="3"/>
  <c r="B341" i="3"/>
  <c r="G341" i="3" l="1"/>
  <c r="H341" i="3" s="1"/>
  <c r="A342" i="3" s="1"/>
  <c r="B342" i="3" l="1"/>
  <c r="F342" i="3"/>
  <c r="C342" i="3"/>
  <c r="G342" i="3" s="1"/>
  <c r="H342" i="3" s="1"/>
  <c r="A343" i="3" s="1"/>
  <c r="F343" i="3" l="1"/>
  <c r="C343" i="3"/>
  <c r="B343" i="3"/>
  <c r="G343" i="3"/>
  <c r="H343" i="3" s="1"/>
  <c r="A344" i="3" s="1"/>
  <c r="F344" i="3" l="1"/>
  <c r="C344" i="3"/>
  <c r="G344" i="3" s="1"/>
  <c r="H344" i="3" s="1"/>
  <c r="A345" i="3" s="1"/>
  <c r="B344" i="3"/>
  <c r="C345" i="3" l="1"/>
  <c r="F345" i="3"/>
  <c r="B345" i="3"/>
  <c r="G345" i="3" l="1"/>
  <c r="H345" i="3" s="1"/>
  <c r="A346" i="3" s="1"/>
  <c r="B346" i="3" s="1"/>
  <c r="F346" i="3" l="1"/>
  <c r="C346" i="3"/>
  <c r="G346" i="3"/>
  <c r="H346" i="3" s="1"/>
  <c r="A347" i="3" s="1"/>
  <c r="F347" i="3" l="1"/>
  <c r="C347" i="3"/>
  <c r="G347" i="3" s="1"/>
  <c r="H347" i="3" s="1"/>
  <c r="A348" i="3" s="1"/>
  <c r="B347" i="3"/>
  <c r="B348" i="3" l="1"/>
  <c r="C348" i="3"/>
  <c r="F348" i="3"/>
  <c r="G348" i="3" l="1"/>
  <c r="H348" i="3" s="1"/>
  <c r="A349" i="3" s="1"/>
  <c r="C349" i="3" l="1"/>
  <c r="B349" i="3"/>
  <c r="F349" i="3"/>
  <c r="G349" i="3" l="1"/>
  <c r="H349" i="3" s="1"/>
  <c r="A350" i="3" s="1"/>
  <c r="B350" i="3" l="1"/>
  <c r="F350" i="3"/>
  <c r="C350" i="3"/>
  <c r="G350" i="3" s="1"/>
  <c r="H350" i="3" s="1"/>
  <c r="A351" i="3" s="1"/>
  <c r="B351" i="3" l="1"/>
  <c r="F351" i="3"/>
  <c r="C351" i="3"/>
  <c r="G351" i="3" s="1"/>
  <c r="H351" i="3" s="1"/>
  <c r="A352" i="3" s="1"/>
  <c r="F352" i="3" l="1"/>
  <c r="B352" i="3"/>
  <c r="C352" i="3"/>
  <c r="G352" i="3" s="1"/>
  <c r="H352" i="3" s="1"/>
  <c r="A353" i="3" s="1"/>
  <c r="F353" i="3" l="1"/>
  <c r="C353" i="3"/>
  <c r="B353" i="3"/>
  <c r="G353" i="3"/>
  <c r="H353" i="3" s="1"/>
  <c r="A354" i="3" s="1"/>
  <c r="F354" i="3" l="1"/>
  <c r="B354" i="3"/>
  <c r="C354" i="3"/>
  <c r="G354" i="3" s="1"/>
  <c r="H354" i="3" s="1"/>
  <c r="A355" i="3" s="1"/>
  <c r="B355" i="3" l="1"/>
  <c r="F355" i="3"/>
  <c r="C355" i="3"/>
  <c r="G355" i="3" l="1"/>
  <c r="H355" i="3" s="1"/>
  <c r="A356" i="3" s="1"/>
  <c r="B356" i="3" l="1"/>
  <c r="F356" i="3"/>
  <c r="C356" i="3"/>
  <c r="G356" i="3" s="1"/>
  <c r="H356" i="3" s="1"/>
  <c r="A357" i="3" s="1"/>
  <c r="C357" i="3" l="1"/>
  <c r="B357" i="3"/>
  <c r="F357" i="3"/>
  <c r="G357" i="3" s="1"/>
  <c r="H357" i="3" s="1"/>
  <c r="A358" i="3" s="1"/>
  <c r="F358" i="3" l="1"/>
  <c r="C358" i="3"/>
  <c r="G358" i="3" s="1"/>
  <c r="H358" i="3" s="1"/>
  <c r="A359" i="3" s="1"/>
  <c r="B358" i="3"/>
  <c r="B359" i="3" l="1"/>
  <c r="C359" i="3"/>
  <c r="F359" i="3"/>
  <c r="G359" i="3" l="1"/>
  <c r="H359" i="3" s="1"/>
  <c r="A360" i="3" s="1"/>
  <c r="F360" i="3" l="1"/>
  <c r="C360" i="3"/>
  <c r="B360" i="3"/>
  <c r="G360" i="3" l="1"/>
  <c r="H360" i="3" s="1"/>
  <c r="A361" i="3" s="1"/>
  <c r="C361" i="3" s="1"/>
  <c r="F361" i="3" l="1"/>
  <c r="G361" i="3" s="1"/>
  <c r="H361" i="3" s="1"/>
  <c r="A362" i="3" s="1"/>
  <c r="B361" i="3"/>
  <c r="C362" i="3"/>
  <c r="F362" i="3"/>
  <c r="B362" i="3"/>
  <c r="G362" i="3" l="1"/>
  <c r="H362" i="3" s="1"/>
  <c r="A363" i="3" s="1"/>
  <c r="F363" i="3" l="1"/>
  <c r="B363" i="3"/>
  <c r="C363" i="3"/>
  <c r="G363" i="3" s="1"/>
  <c r="H363" i="3" s="1"/>
  <c r="A364" i="3" s="1"/>
  <c r="B364" i="3" l="1"/>
  <c r="C364" i="3"/>
  <c r="F364" i="3"/>
  <c r="G364" i="3" l="1"/>
  <c r="H364" i="3" s="1"/>
  <c r="A365" i="3" s="1"/>
  <c r="C365" i="3" l="1"/>
  <c r="B365" i="3"/>
  <c r="F365" i="3"/>
  <c r="G365" i="3" l="1"/>
  <c r="H365" i="3" s="1"/>
  <c r="A366" i="3" s="1"/>
  <c r="C366" i="3" l="1"/>
  <c r="B366" i="3"/>
  <c r="F366" i="3"/>
  <c r="G366" i="3" l="1"/>
  <c r="H366" i="3" s="1"/>
  <c r="A367" i="3" s="1"/>
  <c r="B367" i="3" s="1"/>
  <c r="C367" i="3"/>
  <c r="F367" i="3"/>
  <c r="G367" i="3" l="1"/>
  <c r="H367" i="3" s="1"/>
  <c r="A368" i="3" s="1"/>
  <c r="C368" i="3" l="1"/>
  <c r="F368" i="3"/>
  <c r="B368" i="3"/>
  <c r="G368" i="3" l="1"/>
  <c r="H368" i="3" s="1"/>
  <c r="A369" i="3" s="1"/>
  <c r="F369" i="3" s="1"/>
  <c r="B369" i="3" l="1"/>
  <c r="C369" i="3"/>
  <c r="G369" i="3"/>
  <c r="H369" i="3" s="1"/>
  <c r="A370" i="3" s="1"/>
  <c r="C370" i="3" s="1"/>
  <c r="B370" i="3"/>
  <c r="F370" i="3"/>
  <c r="G370" i="3" l="1"/>
  <c r="H370" i="3" s="1"/>
  <c r="A371" i="3" s="1"/>
  <c r="B371" i="3" l="1"/>
  <c r="C371" i="3"/>
  <c r="F371" i="3"/>
  <c r="G371" i="3" s="1"/>
  <c r="H371" i="3" s="1"/>
  <c r="A372" i="3" s="1"/>
  <c r="F372" i="3" l="1"/>
  <c r="C372" i="3"/>
  <c r="G372" i="3" s="1"/>
  <c r="H372" i="3" s="1"/>
  <c r="A373" i="3" s="1"/>
  <c r="B372" i="3"/>
  <c r="B373" i="3" l="1"/>
  <c r="F373" i="3"/>
  <c r="C373" i="3"/>
  <c r="G373" i="3" s="1"/>
  <c r="H373" i="3" s="1"/>
  <c r="A374" i="3" s="1"/>
  <c r="F374" i="3" l="1"/>
  <c r="C374" i="3"/>
  <c r="B374" i="3"/>
  <c r="G374" i="3" l="1"/>
  <c r="H374" i="3" s="1"/>
  <c r="A375" i="3" s="1"/>
  <c r="F375" i="3"/>
  <c r="B375" i="3"/>
  <c r="C375" i="3"/>
  <c r="G375" i="3" s="1"/>
  <c r="H375" i="3" s="1"/>
  <c r="A376" i="3" s="1"/>
  <c r="B376" i="3" l="1"/>
  <c r="F376" i="3"/>
  <c r="C376" i="3"/>
  <c r="G376" i="3" s="1"/>
  <c r="H376" i="3" s="1"/>
  <c r="A377" i="3" s="1"/>
  <c r="C377" i="3" l="1"/>
  <c r="F377" i="3"/>
  <c r="B377" i="3"/>
  <c r="G377" i="3" l="1"/>
  <c r="H377" i="3" s="1"/>
  <c r="A378" i="3" s="1"/>
  <c r="B378" i="3" l="1"/>
  <c r="F378" i="3"/>
  <c r="C378" i="3"/>
  <c r="G378" i="3" s="1"/>
  <c r="H378" i="3" s="1"/>
  <c r="A379" i="3" s="1"/>
  <c r="B379" i="3" l="1"/>
  <c r="C379" i="3"/>
  <c r="F379" i="3"/>
  <c r="G379" i="3" l="1"/>
  <c r="H379" i="3" s="1"/>
  <c r="A380" i="3" s="1"/>
  <c r="F380" i="3" l="1"/>
  <c r="B380" i="3"/>
  <c r="C380" i="3"/>
  <c r="G380" i="3" s="1"/>
  <c r="H380" i="3" s="1"/>
  <c r="A381" i="3" s="1"/>
  <c r="F381" i="3" l="1"/>
  <c r="B381" i="3"/>
  <c r="C381" i="3"/>
  <c r="G381" i="3" s="1"/>
  <c r="H381" i="3" s="1"/>
  <c r="A382" i="3" s="1"/>
  <c r="B382" i="3" l="1"/>
  <c r="C382" i="3"/>
  <c r="F382" i="3"/>
  <c r="G382" i="3" l="1"/>
  <c r="H382" i="3" s="1"/>
  <c r="A383" i="3" s="1"/>
  <c r="C383" i="3" l="1"/>
  <c r="F383" i="3"/>
  <c r="B383" i="3"/>
  <c r="G383" i="3" l="1"/>
  <c r="H383" i="3" s="1"/>
  <c r="A384" i="3" s="1"/>
  <c r="C384" i="3" l="1"/>
  <c r="F384" i="3"/>
  <c r="B384" i="3"/>
  <c r="G384" i="3" l="1"/>
  <c r="H384" i="3" s="1"/>
  <c r="A385" i="3" s="1"/>
  <c r="F385" i="3" l="1"/>
  <c r="B385" i="3"/>
  <c r="C385" i="3"/>
  <c r="G385" i="3" s="1"/>
  <c r="H385" i="3" s="1"/>
  <c r="A386" i="3" s="1"/>
  <c r="F386" i="3" l="1"/>
  <c r="C386" i="3"/>
  <c r="G386" i="3" s="1"/>
  <c r="H386" i="3" s="1"/>
  <c r="A387" i="3" s="1"/>
  <c r="B386" i="3"/>
  <c r="C387" i="3" l="1"/>
  <c r="B387" i="3"/>
  <c r="F387" i="3"/>
  <c r="G387" i="3" l="1"/>
  <c r="H387" i="3" s="1"/>
  <c r="A388" i="3" s="1"/>
  <c r="B388" i="3" l="1"/>
  <c r="F388" i="3"/>
  <c r="C388" i="3"/>
  <c r="G388" i="3" l="1"/>
  <c r="H388" i="3" s="1"/>
  <c r="A389" i="3" s="1"/>
  <c r="F389" i="3" l="1"/>
  <c r="B389" i="3"/>
  <c r="C389" i="3"/>
  <c r="G389" i="3" s="1"/>
  <c r="H389" i="3" s="1"/>
  <c r="A390" i="3" s="1"/>
  <c r="B390" i="3" l="1"/>
  <c r="C390" i="3"/>
  <c r="F390" i="3"/>
  <c r="G390" i="3" l="1"/>
  <c r="H390" i="3" s="1"/>
  <c r="A391" i="3" s="1"/>
  <c r="C391" i="3" l="1"/>
  <c r="F391" i="3"/>
  <c r="B391" i="3"/>
  <c r="G391" i="3"/>
  <c r="H391" i="3" s="1"/>
  <c r="A392" i="3" s="1"/>
  <c r="C392" i="3" l="1"/>
  <c r="B392" i="3"/>
  <c r="F392" i="3"/>
  <c r="G392" i="3" l="1"/>
  <c r="H392" i="3" s="1"/>
  <c r="A393" i="3" s="1"/>
  <c r="B393" i="3" l="1"/>
  <c r="F393" i="3"/>
  <c r="C393" i="3"/>
  <c r="G393" i="3" s="1"/>
  <c r="H393" i="3" s="1"/>
  <c r="A394" i="3" s="1"/>
  <c r="B394" i="3" l="1"/>
  <c r="C394" i="3"/>
  <c r="F394" i="3"/>
  <c r="G394" i="3" s="1"/>
  <c r="H394" i="3" s="1"/>
  <c r="A395" i="3" s="1"/>
  <c r="B395" i="3" l="1"/>
  <c r="C395" i="3"/>
  <c r="F395" i="3"/>
  <c r="G395" i="3" l="1"/>
  <c r="H395" i="3" s="1"/>
  <c r="A396" i="3" s="1"/>
  <c r="F396" i="3" l="1"/>
  <c r="C396" i="3"/>
  <c r="G396" i="3" s="1"/>
  <c r="H396" i="3" s="1"/>
  <c r="A397" i="3" s="1"/>
  <c r="B396" i="3"/>
  <c r="C397" i="3" l="1"/>
  <c r="F397" i="3"/>
  <c r="G397" i="3" s="1"/>
  <c r="H397" i="3" s="1"/>
  <c r="A398" i="3" s="1"/>
  <c r="B397" i="3"/>
  <c r="F398" i="3" l="1"/>
  <c r="B398" i="3"/>
  <c r="C398" i="3"/>
  <c r="G398" i="3" s="1"/>
  <c r="H398" i="3" s="1"/>
  <c r="A399" i="3" s="1"/>
  <c r="B399" i="3" l="1"/>
  <c r="F399" i="3"/>
  <c r="C399" i="3"/>
  <c r="G399" i="3" s="1"/>
  <c r="H399" i="3" s="1"/>
  <c r="A400" i="3" s="1"/>
  <c r="B400" i="3" l="1"/>
  <c r="C400" i="3"/>
  <c r="F400" i="3"/>
  <c r="G400" i="3" l="1"/>
  <c r="H400" i="3" s="1"/>
  <c r="A401" i="3" s="1"/>
  <c r="C401" i="3" l="1"/>
  <c r="F401" i="3"/>
  <c r="B401" i="3"/>
  <c r="G401" i="3" l="1"/>
  <c r="H401" i="3" s="1"/>
  <c r="A402" i="3" s="1"/>
  <c r="B402" i="3" l="1"/>
  <c r="F402" i="3"/>
  <c r="C402" i="3"/>
  <c r="G402" i="3" s="1"/>
  <c r="H402" i="3" s="1"/>
  <c r="A403" i="3" s="1"/>
  <c r="F403" i="3" l="1"/>
  <c r="C403" i="3"/>
  <c r="B403" i="3"/>
  <c r="G403" i="3" l="1"/>
  <c r="H403" i="3" s="1"/>
  <c r="A404" i="3" s="1"/>
  <c r="C404" i="3" l="1"/>
  <c r="F404" i="3"/>
  <c r="B404" i="3"/>
  <c r="G404" i="3" l="1"/>
  <c r="H404" i="3" s="1"/>
  <c r="A405" i="3" s="1"/>
  <c r="F405" i="3" l="1"/>
  <c r="C405" i="3"/>
  <c r="G405" i="3" s="1"/>
  <c r="H405" i="3" s="1"/>
  <c r="A406" i="3" s="1"/>
  <c r="B405" i="3"/>
  <c r="C406" i="3" l="1"/>
  <c r="B406" i="3"/>
  <c r="F406" i="3"/>
  <c r="G406" i="3" l="1"/>
  <c r="H406" i="3" s="1"/>
  <c r="A407" i="3" s="1"/>
  <c r="F407" i="3" l="1"/>
  <c r="C407" i="3"/>
  <c r="G407" i="3" s="1"/>
  <c r="H407" i="3" s="1"/>
  <c r="A408" i="3" s="1"/>
  <c r="B407" i="3"/>
  <c r="F408" i="3" l="1"/>
  <c r="B408" i="3"/>
  <c r="C408" i="3"/>
  <c r="G408" i="3" s="1"/>
  <c r="H408" i="3" s="1"/>
  <c r="A409" i="3" s="1"/>
  <c r="F409" i="3" l="1"/>
  <c r="B409" i="3"/>
  <c r="C409" i="3"/>
  <c r="G409" i="3" s="1"/>
  <c r="H409" i="3" s="1"/>
  <c r="A410" i="3" s="1"/>
  <c r="F410" i="3" l="1"/>
  <c r="C410" i="3"/>
  <c r="G410" i="3" s="1"/>
  <c r="H410" i="3" s="1"/>
  <c r="A411" i="3" s="1"/>
  <c r="B410" i="3"/>
  <c r="B411" i="3" l="1"/>
  <c r="C411" i="3"/>
  <c r="F411" i="3"/>
  <c r="G411" i="3" s="1"/>
  <c r="H411" i="3" s="1"/>
  <c r="A412" i="3" s="1"/>
  <c r="B412" i="3" l="1"/>
  <c r="F412" i="3"/>
  <c r="C412" i="3"/>
  <c r="G412" i="3" l="1"/>
  <c r="H412" i="3" s="1"/>
  <c r="A413" i="3" s="1"/>
  <c r="C413" i="3" l="1"/>
  <c r="B413" i="3"/>
  <c r="F413" i="3"/>
  <c r="G413" i="3" l="1"/>
  <c r="H413" i="3" s="1"/>
  <c r="A414" i="3" s="1"/>
  <c r="B414" i="3" l="1"/>
  <c r="C414" i="3"/>
  <c r="F414" i="3"/>
  <c r="G414" i="3" l="1"/>
  <c r="H414" i="3" s="1"/>
  <c r="A415" i="3" s="1"/>
  <c r="B415" i="3" l="1"/>
  <c r="C415" i="3"/>
  <c r="F415" i="3"/>
  <c r="G415" i="3" l="1"/>
  <c r="H415" i="3" s="1"/>
  <c r="A416" i="3" s="1"/>
  <c r="B416" i="3" l="1"/>
  <c r="F416" i="3"/>
  <c r="C416" i="3"/>
  <c r="G416" i="3" s="1"/>
  <c r="H416" i="3" s="1"/>
  <c r="A417" i="3" s="1"/>
  <c r="B417" i="3" l="1"/>
  <c r="C417" i="3"/>
  <c r="F417" i="3"/>
  <c r="G417" i="3" s="1"/>
  <c r="H417" i="3" s="1"/>
  <c r="A418" i="3" s="1"/>
  <c r="F418" i="3" l="1"/>
  <c r="C418" i="3"/>
  <c r="G418" i="3" s="1"/>
  <c r="H418" i="3" s="1"/>
  <c r="A419" i="3" s="1"/>
  <c r="B418" i="3"/>
  <c r="B419" i="3" l="1"/>
  <c r="C419" i="3"/>
  <c r="F419" i="3"/>
  <c r="G419" i="3" l="1"/>
  <c r="H419" i="3" s="1"/>
  <c r="A420" i="3" s="1"/>
  <c r="F420" i="3" l="1"/>
  <c r="C420" i="3"/>
  <c r="G420" i="3" s="1"/>
  <c r="H420" i="3" s="1"/>
  <c r="A421" i="3" s="1"/>
  <c r="B420" i="3"/>
  <c r="C421" i="3" l="1"/>
  <c r="F421" i="3"/>
  <c r="G421" i="3" s="1"/>
  <c r="H421" i="3" s="1"/>
  <c r="A422" i="3" s="1"/>
  <c r="B421" i="3"/>
  <c r="B422" i="3" l="1"/>
  <c r="F422" i="3"/>
  <c r="C422" i="3"/>
  <c r="G422" i="3" s="1"/>
  <c r="H422" i="3" s="1"/>
  <c r="A423" i="3" s="1"/>
  <c r="F423" i="3" l="1"/>
  <c r="C423" i="3"/>
  <c r="G423" i="3" s="1"/>
  <c r="H423" i="3" s="1"/>
  <c r="A424" i="3" s="1"/>
  <c r="B423" i="3"/>
  <c r="C424" i="3" l="1"/>
  <c r="F424" i="3"/>
  <c r="B424" i="3"/>
  <c r="G424" i="3" l="1"/>
  <c r="H424" i="3" s="1"/>
  <c r="A425" i="3" s="1"/>
  <c r="F425" i="3" l="1"/>
  <c r="C425" i="3"/>
  <c r="G425" i="3" s="1"/>
  <c r="H425" i="3" s="1"/>
  <c r="A426" i="3" s="1"/>
  <c r="B425" i="3"/>
  <c r="F426" i="3" l="1"/>
  <c r="B426" i="3"/>
  <c r="C426" i="3"/>
  <c r="G426" i="3" s="1"/>
  <c r="H426" i="3" s="1"/>
  <c r="A427" i="3" s="1"/>
  <c r="B427" i="3" l="1"/>
  <c r="C427" i="3"/>
  <c r="F427" i="3"/>
  <c r="G427" i="3" l="1"/>
  <c r="H427" i="3" s="1"/>
  <c r="A428" i="3" s="1"/>
  <c r="C428" i="3" l="1"/>
  <c r="F428" i="3"/>
  <c r="B428" i="3"/>
  <c r="G428" i="3" l="1"/>
  <c r="H428" i="3" s="1"/>
  <c r="A429" i="3" s="1"/>
  <c r="F429" i="3" l="1"/>
  <c r="C429" i="3"/>
  <c r="G429" i="3" s="1"/>
  <c r="H429" i="3" s="1"/>
  <c r="A430" i="3" s="1"/>
  <c r="B429" i="3"/>
  <c r="F430" i="3" l="1"/>
  <c r="B430" i="3"/>
  <c r="C430" i="3"/>
  <c r="G430" i="3" s="1"/>
  <c r="H430" i="3" s="1"/>
  <c r="A431" i="3" s="1"/>
  <c r="C431" i="3" l="1"/>
  <c r="F431" i="3"/>
  <c r="B431" i="3"/>
  <c r="G431" i="3" l="1"/>
  <c r="H431" i="3" s="1"/>
  <c r="A432" i="3" s="1"/>
  <c r="C432" i="3" l="1"/>
  <c r="B432" i="3"/>
  <c r="F432" i="3"/>
  <c r="G432" i="3" l="1"/>
  <c r="H432" i="3" s="1"/>
  <c r="A433" i="3" s="1"/>
  <c r="C433" i="3" l="1"/>
  <c r="F433" i="3"/>
  <c r="G433" i="3" s="1"/>
  <c r="H433" i="3" s="1"/>
  <c r="A434" i="3" s="1"/>
  <c r="B433" i="3"/>
  <c r="F434" i="3" l="1"/>
  <c r="C434" i="3"/>
  <c r="B434" i="3"/>
  <c r="G434" i="3"/>
  <c r="H434" i="3" s="1"/>
  <c r="A435" i="3" s="1"/>
  <c r="C435" i="3" l="1"/>
  <c r="B435" i="3"/>
  <c r="F435" i="3"/>
  <c r="G435" i="3" s="1"/>
  <c r="H435" i="3" s="1"/>
  <c r="A436" i="3" s="1"/>
  <c r="F436" i="3" l="1"/>
  <c r="B436" i="3"/>
  <c r="C436" i="3"/>
  <c r="G436" i="3" s="1"/>
  <c r="H436" i="3" s="1"/>
  <c r="A437" i="3" s="1"/>
  <c r="F437" i="3" l="1"/>
  <c r="B437" i="3"/>
  <c r="C437" i="3"/>
  <c r="G437" i="3" s="1"/>
  <c r="H437" i="3" s="1"/>
  <c r="A438" i="3" s="1"/>
  <c r="F438" i="3" l="1"/>
  <c r="C438" i="3"/>
  <c r="G438" i="3" s="1"/>
  <c r="H438" i="3" s="1"/>
  <c r="A439" i="3" s="1"/>
  <c r="B438" i="3"/>
  <c r="F439" i="3" l="1"/>
  <c r="C439" i="3"/>
  <c r="G439" i="3" s="1"/>
  <c r="H439" i="3" s="1"/>
  <c r="A440" i="3" s="1"/>
  <c r="B439" i="3"/>
  <c r="F440" i="3" l="1"/>
  <c r="C440" i="3"/>
  <c r="G440" i="3" s="1"/>
  <c r="H440" i="3" s="1"/>
  <c r="A441" i="3" s="1"/>
  <c r="B440" i="3"/>
  <c r="F441" i="3" l="1"/>
  <c r="B441" i="3"/>
  <c r="C441" i="3"/>
  <c r="G441" i="3" s="1"/>
  <c r="H441" i="3" s="1"/>
  <c r="A442" i="3" s="1"/>
  <c r="B442" i="3" l="1"/>
  <c r="F442" i="3"/>
  <c r="C442" i="3"/>
  <c r="G442" i="3" s="1"/>
  <c r="H442" i="3" s="1"/>
  <c r="A443" i="3" s="1"/>
  <c r="C443" i="3" l="1"/>
  <c r="F443" i="3"/>
  <c r="B443" i="3"/>
  <c r="G443" i="3" l="1"/>
  <c r="H443" i="3" s="1"/>
  <c r="A444" i="3" s="1"/>
  <c r="C444" i="3" l="1"/>
  <c r="F444" i="3"/>
  <c r="B444" i="3"/>
  <c r="G444" i="3" l="1"/>
  <c r="H444" i="3" s="1"/>
  <c r="A445" i="3" s="1"/>
  <c r="B445" i="3" l="1"/>
  <c r="F445" i="3"/>
  <c r="C445" i="3"/>
  <c r="G445" i="3" s="1"/>
  <c r="H445" i="3" s="1"/>
  <c r="A446" i="3" s="1"/>
  <c r="B446" i="3" l="1"/>
  <c r="C446" i="3"/>
  <c r="F446" i="3"/>
  <c r="G446" i="3" s="1"/>
  <c r="H446" i="3" s="1"/>
  <c r="A447" i="3" s="1"/>
  <c r="F447" i="3" l="1"/>
  <c r="B447" i="3"/>
  <c r="C447" i="3"/>
  <c r="G447" i="3" s="1"/>
  <c r="H447" i="3" s="1"/>
  <c r="A448" i="3" s="1"/>
  <c r="F448" i="3" l="1"/>
  <c r="C448" i="3"/>
  <c r="B448" i="3"/>
  <c r="G448" i="3" l="1"/>
  <c r="H448" i="3" s="1"/>
  <c r="A449" i="3" s="1"/>
  <c r="F449" i="3" l="1"/>
  <c r="B449" i="3"/>
  <c r="C449" i="3"/>
  <c r="G449" i="3" s="1"/>
  <c r="H449" i="3" s="1"/>
  <c r="A450" i="3" s="1"/>
  <c r="B450" i="3" l="1"/>
  <c r="F450" i="3"/>
  <c r="C450" i="3"/>
  <c r="G450" i="3" s="1"/>
  <c r="H450" i="3" s="1"/>
  <c r="A451" i="3" s="1"/>
  <c r="F451" i="3" l="1"/>
  <c r="B451" i="3"/>
  <c r="C451" i="3"/>
  <c r="G451" i="3" s="1"/>
  <c r="H451" i="3" s="1"/>
  <c r="A452" i="3" s="1"/>
  <c r="B452" i="3" l="1"/>
  <c r="F452" i="3"/>
  <c r="C452" i="3"/>
  <c r="G452" i="3" s="1"/>
  <c r="H452" i="3" s="1"/>
  <c r="A453" i="3" s="1"/>
  <c r="F453" i="3" l="1"/>
  <c r="B453" i="3"/>
  <c r="C453" i="3"/>
  <c r="G453" i="3" s="1"/>
  <c r="H453" i="3" s="1"/>
  <c r="A454" i="3" s="1"/>
  <c r="B454" i="3" l="1"/>
  <c r="F454" i="3"/>
  <c r="C454" i="3"/>
  <c r="G454" i="3" s="1"/>
  <c r="H454" i="3" s="1"/>
  <c r="A455" i="3" s="1"/>
  <c r="B455" i="3" l="1"/>
  <c r="F455" i="3"/>
  <c r="C455" i="3"/>
  <c r="G455" i="3" s="1"/>
  <c r="H455" i="3" s="1"/>
  <c r="A456" i="3" s="1"/>
  <c r="B456" i="3" l="1"/>
  <c r="C456" i="3"/>
  <c r="F456" i="3"/>
  <c r="G456" i="3" l="1"/>
  <c r="H456" i="3" s="1"/>
  <c r="A457" i="3" s="1"/>
  <c r="B457" i="3" l="1"/>
  <c r="F457" i="3"/>
  <c r="C457" i="3"/>
  <c r="G457" i="3" s="1"/>
  <c r="H457" i="3" s="1"/>
  <c r="A458" i="3" s="1"/>
  <c r="F458" i="3" l="1"/>
  <c r="B458" i="3"/>
  <c r="C458" i="3"/>
  <c r="G458" i="3" s="1"/>
  <c r="H458" i="3" s="1"/>
  <c r="A459" i="3" s="1"/>
  <c r="B459" i="3" l="1"/>
  <c r="F459" i="3"/>
  <c r="C459" i="3"/>
  <c r="G459" i="3" s="1"/>
  <c r="H459" i="3" s="1"/>
  <c r="A460" i="3" s="1"/>
  <c r="C460" i="3" l="1"/>
  <c r="B460" i="3"/>
  <c r="F460" i="3"/>
  <c r="G460" i="3" s="1"/>
  <c r="H460" i="3" s="1"/>
  <c r="A461" i="3" s="1"/>
  <c r="F461" i="3" l="1"/>
  <c r="B461" i="3"/>
  <c r="C461" i="3"/>
  <c r="G461" i="3" s="1"/>
  <c r="H461" i="3" s="1"/>
  <c r="A462" i="3" s="1"/>
  <c r="F462" i="3" l="1"/>
  <c r="B462" i="3"/>
  <c r="C462" i="3"/>
  <c r="G462" i="3"/>
  <c r="H462" i="3" s="1"/>
  <c r="A463" i="3" s="1"/>
  <c r="F463" i="3" l="1"/>
  <c r="B463" i="3"/>
  <c r="C463" i="3"/>
  <c r="G463" i="3" s="1"/>
  <c r="H463" i="3" s="1"/>
  <c r="A464" i="3" s="1"/>
  <c r="C464" i="3" l="1"/>
  <c r="B464" i="3"/>
  <c r="F464" i="3"/>
  <c r="G464" i="3"/>
  <c r="H464" i="3" s="1"/>
  <c r="A465" i="3" s="1"/>
  <c r="F465" i="3" l="1"/>
  <c r="C465" i="3"/>
  <c r="G465" i="3" s="1"/>
  <c r="H465" i="3" s="1"/>
  <c r="A466" i="3" s="1"/>
  <c r="B465" i="3"/>
  <c r="F466" i="3" l="1"/>
  <c r="B466" i="3"/>
  <c r="C466" i="3"/>
  <c r="G466" i="3" s="1"/>
  <c r="H466" i="3" s="1"/>
  <c r="A467" i="3" s="1"/>
  <c r="C467" i="3" l="1"/>
  <c r="B467" i="3"/>
  <c r="F467" i="3"/>
  <c r="G467" i="3" l="1"/>
  <c r="H467" i="3" s="1"/>
  <c r="A468" i="3" s="1"/>
  <c r="B468" i="3" l="1"/>
  <c r="C468" i="3"/>
  <c r="F468" i="3"/>
  <c r="G468" i="3" s="1"/>
  <c r="H468" i="3" s="1"/>
  <c r="A469" i="3" s="1"/>
  <c r="C469" i="3" l="1"/>
  <c r="B469" i="3"/>
  <c r="F469" i="3"/>
  <c r="G469" i="3" l="1"/>
  <c r="H469" i="3" s="1"/>
  <c r="A470" i="3" s="1"/>
  <c r="F470" i="3" l="1"/>
  <c r="C470" i="3"/>
  <c r="G470" i="3" s="1"/>
  <c r="H470" i="3" s="1"/>
  <c r="A471" i="3" s="1"/>
  <c r="B470" i="3"/>
  <c r="B471" i="3" l="1"/>
  <c r="C471" i="3"/>
  <c r="F471" i="3"/>
  <c r="G471" i="3" l="1"/>
  <c r="H471" i="3" s="1"/>
  <c r="A472" i="3" s="1"/>
  <c r="B472" i="3" l="1"/>
  <c r="F472" i="3"/>
  <c r="C472" i="3"/>
  <c r="G472" i="3" s="1"/>
  <c r="H472" i="3" s="1"/>
  <c r="A473" i="3" s="1"/>
  <c r="F473" i="3" l="1"/>
  <c r="C473" i="3"/>
  <c r="B473" i="3"/>
  <c r="G473" i="3"/>
  <c r="H473" i="3" s="1"/>
  <c r="A474" i="3" s="1"/>
  <c r="B474" i="3" l="1"/>
  <c r="C474" i="3"/>
  <c r="F474" i="3"/>
  <c r="G474" i="3" l="1"/>
  <c r="H474" i="3" s="1"/>
  <c r="A475" i="3" s="1"/>
  <c r="F475" i="3" l="1"/>
  <c r="C475" i="3"/>
  <c r="G475" i="3" s="1"/>
  <c r="H475" i="3" s="1"/>
  <c r="A476" i="3" s="1"/>
  <c r="B475" i="3"/>
  <c r="B476" i="3" l="1"/>
  <c r="F476" i="3"/>
  <c r="C476" i="3"/>
  <c r="G476" i="3" s="1"/>
  <c r="H476" i="3" s="1"/>
  <c r="A477" i="3" s="1"/>
  <c r="C477" i="3" l="1"/>
  <c r="B477" i="3"/>
  <c r="F477" i="3"/>
  <c r="G477" i="3" l="1"/>
  <c r="H477" i="3" s="1"/>
  <c r="A478" i="3" s="1"/>
  <c r="B478" i="3" l="1"/>
  <c r="C478" i="3"/>
  <c r="F478" i="3"/>
  <c r="G478" i="3" l="1"/>
  <c r="H478" i="3" s="1"/>
  <c r="A479" i="3" s="1"/>
  <c r="F479" i="3" l="1"/>
  <c r="B479" i="3"/>
  <c r="C479" i="3"/>
  <c r="G479" i="3" s="1"/>
  <c r="H479" i="3" s="1"/>
  <c r="A480" i="3" s="1"/>
  <c r="F480" i="3" l="1"/>
  <c r="C480" i="3"/>
  <c r="G480" i="3" s="1"/>
  <c r="H480" i="3" s="1"/>
  <c r="A481" i="3" s="1"/>
  <c r="B480" i="3"/>
  <c r="B481" i="3" l="1"/>
  <c r="F481" i="3"/>
  <c r="C481" i="3"/>
  <c r="G481" i="3" s="1"/>
  <c r="H481" i="3" s="1"/>
  <c r="A482" i="3" s="1"/>
  <c r="B482" i="3" l="1"/>
  <c r="F482" i="3"/>
  <c r="C482" i="3"/>
  <c r="G482" i="3" s="1"/>
  <c r="H482" i="3" s="1"/>
  <c r="A483" i="3" s="1"/>
  <c r="C483" i="3" l="1"/>
  <c r="F483" i="3"/>
  <c r="G483" i="3" s="1"/>
  <c r="H483" i="3" s="1"/>
  <c r="A484" i="3" s="1"/>
  <c r="B483" i="3"/>
  <c r="C484" i="3" l="1"/>
  <c r="F484" i="3"/>
  <c r="B484" i="3"/>
  <c r="G484" i="3" l="1"/>
  <c r="H484" i="3" s="1"/>
  <c r="A485" i="3" s="1"/>
  <c r="C485" i="3" l="1"/>
  <c r="B485" i="3"/>
  <c r="F485" i="3"/>
  <c r="G485" i="3" s="1"/>
  <c r="H485" i="3" s="1"/>
  <c r="A486" i="3" s="1"/>
  <c r="B486" i="3" l="1"/>
  <c r="C486" i="3"/>
  <c r="F486" i="3"/>
  <c r="G486" i="3" l="1"/>
  <c r="H486" i="3" s="1"/>
  <c r="A487" i="3" s="1"/>
  <c r="B487" i="3" l="1"/>
  <c r="F487" i="3"/>
  <c r="C487" i="3"/>
  <c r="G487" i="3" s="1"/>
  <c r="H487" i="3" s="1"/>
  <c r="A488" i="3" s="1"/>
  <c r="F488" i="3" l="1"/>
  <c r="C488" i="3"/>
  <c r="B488" i="3"/>
  <c r="G488" i="3" l="1"/>
  <c r="H488" i="3" s="1"/>
  <c r="A489" i="3" s="1"/>
  <c r="F489" i="3" l="1"/>
  <c r="C489" i="3"/>
  <c r="G489" i="3" s="1"/>
  <c r="H489" i="3" s="1"/>
  <c r="A490" i="3" s="1"/>
  <c r="B489" i="3"/>
  <c r="F490" i="3" l="1"/>
  <c r="C490" i="3"/>
  <c r="B490" i="3"/>
  <c r="G490" i="3"/>
  <c r="H490" i="3" s="1"/>
  <c r="A491" i="3" s="1"/>
  <c r="F491" i="3" l="1"/>
  <c r="B491" i="3"/>
  <c r="C491" i="3"/>
  <c r="G491" i="3" l="1"/>
  <c r="H491" i="3" s="1"/>
  <c r="A492" i="3" s="1"/>
  <c r="F492" i="3" l="1"/>
  <c r="B492" i="3"/>
  <c r="C492" i="3"/>
  <c r="G492" i="3" s="1"/>
  <c r="H492" i="3" s="1"/>
  <c r="A493" i="3" s="1"/>
  <c r="F493" i="3" l="1"/>
  <c r="B493" i="3"/>
  <c r="C493" i="3"/>
  <c r="G493" i="3" s="1"/>
  <c r="H493" i="3" s="1"/>
  <c r="A494" i="3" s="1"/>
  <c r="C494" i="3" l="1"/>
  <c r="B494" i="3"/>
  <c r="F494" i="3"/>
  <c r="G494" i="3" s="1"/>
  <c r="H494" i="3" s="1"/>
  <c r="A495" i="3" s="1"/>
  <c r="B495" i="3" l="1"/>
  <c r="C495" i="3"/>
  <c r="F495" i="3"/>
  <c r="G495" i="3" l="1"/>
  <c r="H495" i="3" s="1"/>
  <c r="A496" i="3" s="1"/>
  <c r="F496" i="3" l="1"/>
  <c r="B496" i="3"/>
  <c r="C496" i="3"/>
  <c r="G496" i="3" s="1"/>
  <c r="H496" i="3" s="1"/>
  <c r="A497" i="3" s="1"/>
  <c r="C497" i="3" l="1"/>
  <c r="F497" i="3"/>
  <c r="G497" i="3" s="1"/>
  <c r="H497" i="3" s="1"/>
  <c r="A498" i="3" s="1"/>
  <c r="B497" i="3"/>
  <c r="C498" i="3" l="1"/>
  <c r="B498" i="3"/>
  <c r="F498" i="3"/>
  <c r="G498" i="3" l="1"/>
  <c r="H498" i="3" s="1"/>
  <c r="A499" i="3" s="1"/>
  <c r="B499" i="3" l="1"/>
  <c r="C499" i="3"/>
  <c r="F499" i="3"/>
  <c r="G499" i="3" l="1"/>
  <c r="H499" i="3" s="1"/>
  <c r="A500" i="3" s="1"/>
  <c r="B500" i="3" l="1"/>
  <c r="C500" i="3"/>
  <c r="F500" i="3"/>
  <c r="G500" i="3" l="1"/>
  <c r="H500" i="3" s="1"/>
  <c r="A501" i="3" s="1"/>
  <c r="F501" i="3" l="1"/>
  <c r="B501" i="3"/>
  <c r="C501" i="3"/>
  <c r="G501" i="3" l="1"/>
  <c r="H501" i="3" s="1"/>
  <c r="A502" i="3" s="1"/>
  <c r="C502" i="3" l="1"/>
  <c r="B502" i="3"/>
  <c r="F502" i="3"/>
  <c r="G502" i="3" s="1"/>
  <c r="H502" i="3" s="1"/>
  <c r="A503" i="3" s="1"/>
  <c r="B503" i="3" l="1"/>
  <c r="F503" i="3"/>
  <c r="C503" i="3"/>
  <c r="G503" i="3" s="1"/>
  <c r="H503" i="3" s="1"/>
  <c r="A504" i="3" s="1"/>
  <c r="F504" i="3" l="1"/>
  <c r="B504" i="3"/>
  <c r="C504" i="3"/>
  <c r="G504" i="3" s="1"/>
  <c r="H504" i="3" s="1"/>
  <c r="A505" i="3" s="1"/>
  <c r="C505" i="3" l="1"/>
  <c r="B505" i="3"/>
  <c r="F505" i="3"/>
  <c r="G505" i="3" l="1"/>
  <c r="H505" i="3" s="1"/>
  <c r="A506" i="3" s="1"/>
  <c r="C506" i="3" l="1"/>
  <c r="G506" i="3" s="1"/>
  <c r="H506" i="3" s="1"/>
  <c r="A507" i="3" s="1"/>
  <c r="F506" i="3"/>
  <c r="B506" i="3"/>
  <c r="C507" i="3" l="1"/>
  <c r="G507" i="3" s="1"/>
  <c r="H507" i="3" s="1"/>
  <c r="A508" i="3" s="1"/>
  <c r="F507" i="3"/>
  <c r="B507" i="3"/>
  <c r="B508" i="3" l="1"/>
  <c r="F508" i="3"/>
  <c r="G508" i="3" s="1"/>
  <c r="H508" i="3" s="1"/>
  <c r="A509" i="3" s="1"/>
  <c r="C508" i="3"/>
  <c r="C509" i="3" l="1"/>
  <c r="G509" i="3" s="1"/>
  <c r="H509" i="3" s="1"/>
  <c r="A510" i="3" s="1"/>
  <c r="F509" i="3"/>
  <c r="B509" i="3"/>
  <c r="F510" i="3" l="1"/>
  <c r="C510" i="3"/>
  <c r="G510" i="3" s="1"/>
  <c r="H510" i="3" s="1"/>
  <c r="A511" i="3" s="1"/>
  <c r="B510" i="3"/>
  <c r="C511" i="3" l="1"/>
  <c r="F511" i="3"/>
  <c r="G511" i="3" s="1"/>
  <c r="H511" i="3" s="1"/>
  <c r="A512" i="3" s="1"/>
  <c r="B511" i="3"/>
  <c r="C512" i="3" l="1"/>
  <c r="G512" i="3" s="1"/>
  <c r="H512" i="3" s="1"/>
  <c r="A513" i="3" s="1"/>
  <c r="F512" i="3"/>
  <c r="B512" i="3"/>
  <c r="B513" i="3" l="1"/>
  <c r="F513" i="3"/>
  <c r="C513" i="3"/>
  <c r="G513" i="3" s="1"/>
  <c r="H513" i="3" s="1"/>
  <c r="A514" i="3" s="1"/>
  <c r="B514" i="3" l="1"/>
  <c r="G514" i="3"/>
  <c r="H514" i="3" s="1"/>
  <c r="A515" i="3" s="1"/>
  <c r="C514" i="3"/>
  <c r="F514" i="3"/>
  <c r="F515" i="3" l="1"/>
  <c r="C515" i="3"/>
  <c r="G515" i="3" s="1"/>
  <c r="H515" i="3" s="1"/>
  <c r="A516" i="3" s="1"/>
  <c r="B515" i="3"/>
  <c r="C516" i="3" l="1"/>
  <c r="G516" i="3" s="1"/>
  <c r="H516" i="3" s="1"/>
  <c r="A517" i="3" s="1"/>
  <c r="F516" i="3"/>
  <c r="B516" i="3"/>
  <c r="B517" i="3" l="1"/>
  <c r="C517" i="3"/>
  <c r="G517" i="3" s="1"/>
  <c r="H517" i="3" s="1"/>
  <c r="A518" i="3" s="1"/>
  <c r="F517" i="3"/>
  <c r="F518" i="3" l="1"/>
  <c r="G518" i="3" s="1"/>
  <c r="H518" i="3" s="1"/>
  <c r="A519" i="3" s="1"/>
  <c r="B518" i="3"/>
  <c r="C518" i="3"/>
  <c r="B519" i="3" l="1"/>
  <c r="F519" i="3"/>
  <c r="C519" i="3"/>
  <c r="G519" i="3" s="1"/>
  <c r="H519" i="3" s="1"/>
  <c r="A520" i="3" s="1"/>
  <c r="B520" i="3" l="1"/>
  <c r="C520" i="3"/>
  <c r="G520" i="3" s="1"/>
  <c r="H520" i="3" s="1"/>
  <c r="A521" i="3" s="1"/>
  <c r="F520" i="3"/>
  <c r="C521" i="3" l="1"/>
  <c r="G521" i="3" s="1"/>
  <c r="H521" i="3" s="1"/>
  <c r="A522" i="3" s="1"/>
  <c r="F521" i="3"/>
  <c r="B521" i="3"/>
  <c r="F522" i="3" l="1"/>
  <c r="C522" i="3"/>
  <c r="G522" i="3"/>
  <c r="H522" i="3" s="1"/>
  <c r="A523" i="3" s="1"/>
  <c r="B522" i="3"/>
  <c r="F523" i="3" l="1"/>
  <c r="C523" i="3"/>
  <c r="G523" i="3" s="1"/>
  <c r="H523" i="3" s="1"/>
  <c r="A524" i="3" s="1"/>
  <c r="B523" i="3"/>
  <c r="C524" i="3" l="1"/>
  <c r="F524" i="3"/>
  <c r="G524" i="3"/>
  <c r="H524" i="3" s="1"/>
  <c r="A525" i="3" s="1"/>
  <c r="B524" i="3"/>
  <c r="B525" i="3" l="1"/>
  <c r="F525" i="3"/>
  <c r="C525" i="3"/>
  <c r="G525" i="3" s="1"/>
  <c r="H525" i="3" s="1"/>
  <c r="A526" i="3" s="1"/>
  <c r="F526" i="3" l="1"/>
  <c r="B526" i="3"/>
  <c r="C526" i="3"/>
  <c r="G526" i="3" s="1"/>
  <c r="H526" i="3" s="1"/>
  <c r="A527" i="3" s="1"/>
  <c r="B527" i="3" l="1"/>
  <c r="F527" i="3"/>
  <c r="C527" i="3"/>
  <c r="G527" i="3" s="1"/>
  <c r="H527" i="3" s="1"/>
  <c r="A528" i="3" s="1"/>
  <c r="F528" i="3" l="1"/>
  <c r="C528" i="3"/>
  <c r="G528" i="3" s="1"/>
  <c r="H528" i="3" s="1"/>
  <c r="A529" i="3" s="1"/>
  <c r="B528" i="3"/>
  <c r="B529" i="3" l="1"/>
  <c r="C529" i="3"/>
  <c r="G529" i="3" s="1"/>
  <c r="H529" i="3" s="1"/>
  <c r="A530" i="3" s="1"/>
  <c r="F529" i="3"/>
  <c r="C530" i="3" l="1"/>
  <c r="G530" i="3"/>
  <c r="H530" i="3" s="1"/>
  <c r="A531" i="3" s="1"/>
  <c r="B530" i="3"/>
  <c r="F530" i="3"/>
  <c r="F531" i="3" l="1"/>
  <c r="G531" i="3" s="1"/>
  <c r="H531" i="3" s="1"/>
  <c r="A532" i="3" s="1"/>
  <c r="C531" i="3"/>
  <c r="B531" i="3"/>
  <c r="C532" i="3" l="1"/>
  <c r="G532" i="3" s="1"/>
  <c r="H532" i="3" s="1"/>
  <c r="A533" i="3" s="1"/>
  <c r="B532" i="3"/>
  <c r="F532" i="3"/>
  <c r="B533" i="3" l="1"/>
  <c r="C533" i="3"/>
  <c r="G533" i="3" s="1"/>
  <c r="H533" i="3" s="1"/>
  <c r="A534" i="3" s="1"/>
  <c r="F533" i="3"/>
  <c r="B534" i="3" l="1"/>
  <c r="F534" i="3"/>
  <c r="C534" i="3"/>
  <c r="G534" i="3" s="1"/>
  <c r="H534" i="3" s="1"/>
  <c r="A535" i="3" s="1"/>
  <c r="B535" i="3" l="1"/>
  <c r="C535" i="3"/>
  <c r="G535" i="3" s="1"/>
  <c r="H535" i="3" s="1"/>
  <c r="A536" i="3" s="1"/>
  <c r="F535" i="3"/>
  <c r="B536" i="3" l="1"/>
  <c r="F536" i="3"/>
  <c r="C536" i="3"/>
  <c r="G536" i="3" s="1"/>
  <c r="H536" i="3" s="1"/>
  <c r="A537" i="3" s="1"/>
  <c r="F537" i="3" l="1"/>
  <c r="B537" i="3"/>
  <c r="C537" i="3"/>
  <c r="G537" i="3" s="1"/>
  <c r="H537" i="3" s="1"/>
  <c r="A538" i="3" s="1"/>
  <c r="F538" i="3" l="1"/>
  <c r="C538" i="3"/>
  <c r="G538" i="3" s="1"/>
  <c r="H538" i="3" s="1"/>
  <c r="A539" i="3" s="1"/>
  <c r="B538" i="3"/>
  <c r="F539" i="3" l="1"/>
  <c r="C539" i="3"/>
  <c r="G539" i="3" s="1"/>
  <c r="H539" i="3" s="1"/>
  <c r="A540" i="3" s="1"/>
  <c r="B539" i="3"/>
  <c r="F540" i="3" l="1"/>
  <c r="B540" i="3"/>
  <c r="C540" i="3"/>
  <c r="G540" i="3" s="1"/>
  <c r="H540" i="3" s="1"/>
  <c r="A541" i="3" s="1"/>
  <c r="B541" i="3" l="1"/>
  <c r="C541" i="3"/>
  <c r="G541" i="3" s="1"/>
  <c r="H541" i="3" s="1"/>
  <c r="A542" i="3" s="1"/>
  <c r="F541" i="3"/>
  <c r="B542" i="3" l="1"/>
  <c r="F542" i="3"/>
  <c r="C542" i="3"/>
  <c r="G542" i="3" s="1"/>
  <c r="H542" i="3" s="1"/>
  <c r="A543" i="3" s="1"/>
  <c r="B543" i="3" l="1"/>
  <c r="F543" i="3"/>
  <c r="C543" i="3"/>
  <c r="G543" i="3" s="1"/>
  <c r="H543" i="3" s="1"/>
  <c r="A544" i="3" s="1"/>
  <c r="F544" i="3" l="1"/>
  <c r="G544" i="3" s="1"/>
  <c r="H544" i="3" s="1"/>
  <c r="A545" i="3" s="1"/>
  <c r="C544" i="3"/>
  <c r="B544" i="3"/>
  <c r="F545" i="3" l="1"/>
  <c r="C545" i="3"/>
  <c r="G545" i="3" s="1"/>
  <c r="H545" i="3" s="1"/>
  <c r="A546" i="3" s="1"/>
  <c r="B545" i="3"/>
  <c r="C546" i="3" l="1"/>
  <c r="B546" i="3"/>
  <c r="F546" i="3"/>
  <c r="G546" i="3"/>
  <c r="H546" i="3" s="1"/>
  <c r="A547" i="3" s="1"/>
  <c r="B547" i="3" l="1"/>
  <c r="F547" i="3"/>
  <c r="G547" i="3" s="1"/>
  <c r="H547" i="3" s="1"/>
  <c r="A548" i="3" s="1"/>
  <c r="C547" i="3"/>
  <c r="F548" i="3" l="1"/>
  <c r="B548" i="3"/>
  <c r="C548" i="3"/>
  <c r="G548" i="3" s="1"/>
  <c r="H548" i="3" s="1"/>
  <c r="A549" i="3" s="1"/>
  <c r="C549" i="3" l="1"/>
  <c r="G549" i="3" s="1"/>
  <c r="H549" i="3" s="1"/>
  <c r="A550" i="3" s="1"/>
  <c r="B549" i="3"/>
  <c r="F549" i="3"/>
  <c r="C550" i="3" l="1"/>
  <c r="F550" i="3"/>
  <c r="G550" i="3" s="1"/>
  <c r="H550" i="3" s="1"/>
  <c r="A551" i="3" s="1"/>
  <c r="B550" i="3"/>
  <c r="C551" i="3" l="1"/>
  <c r="G551" i="3" s="1"/>
  <c r="H551" i="3" s="1"/>
  <c r="A552" i="3" s="1"/>
  <c r="B551" i="3"/>
  <c r="F551" i="3"/>
  <c r="F552" i="3" l="1"/>
  <c r="C552" i="3"/>
  <c r="G552" i="3" s="1"/>
  <c r="H552" i="3" s="1"/>
  <c r="A553" i="3" s="1"/>
  <c r="B552" i="3"/>
  <c r="B553" i="3" l="1"/>
  <c r="C553" i="3"/>
  <c r="G553" i="3" s="1"/>
  <c r="H553" i="3" s="1"/>
  <c r="A554" i="3" s="1"/>
  <c r="F553" i="3"/>
  <c r="C554" i="3" l="1"/>
  <c r="B554" i="3"/>
  <c r="F554" i="3"/>
  <c r="G554" i="3"/>
  <c r="H554" i="3" s="1"/>
  <c r="A555" i="3" s="1"/>
  <c r="F555" i="3" l="1"/>
  <c r="C555" i="3"/>
  <c r="G555" i="3" s="1"/>
  <c r="H555" i="3" s="1"/>
  <c r="A556" i="3" s="1"/>
  <c r="B555" i="3"/>
  <c r="B556" i="3" l="1"/>
  <c r="F556" i="3"/>
  <c r="C556" i="3"/>
  <c r="G556" i="3" s="1"/>
  <c r="H556" i="3" s="1"/>
  <c r="A557" i="3" s="1"/>
  <c r="B557" i="3" l="1"/>
  <c r="F557" i="3"/>
  <c r="G557" i="3" s="1"/>
  <c r="H557" i="3" s="1"/>
  <c r="A558" i="3" s="1"/>
  <c r="C557" i="3"/>
  <c r="C558" i="3" l="1"/>
  <c r="F558" i="3"/>
  <c r="G558" i="3"/>
  <c r="H558" i="3" s="1"/>
  <c r="A559" i="3" s="1"/>
  <c r="B558" i="3"/>
  <c r="B559" i="3" l="1"/>
  <c r="C559" i="3"/>
  <c r="G559" i="3" s="1"/>
  <c r="H559" i="3" s="1"/>
  <c r="A560" i="3" s="1"/>
  <c r="F559" i="3"/>
  <c r="C560" i="3" l="1"/>
  <c r="F560" i="3"/>
  <c r="G560" i="3" s="1"/>
  <c r="H560" i="3" s="1"/>
  <c r="A561" i="3" s="1"/>
  <c r="B560" i="3"/>
  <c r="B561" i="3" l="1"/>
  <c r="C561" i="3"/>
  <c r="G561" i="3" s="1"/>
  <c r="H561" i="3" s="1"/>
  <c r="A562" i="3" s="1"/>
  <c r="F561" i="3"/>
  <c r="B562" i="3" l="1"/>
  <c r="C562" i="3"/>
  <c r="F562" i="3"/>
  <c r="G562" i="3" s="1"/>
  <c r="H562" i="3" s="1"/>
  <c r="A563" i="3" s="1"/>
  <c r="C563" i="3" l="1"/>
  <c r="F563" i="3"/>
  <c r="G563" i="3" s="1"/>
  <c r="H563" i="3" s="1"/>
  <c r="A564" i="3" s="1"/>
  <c r="B563" i="3"/>
  <c r="B564" i="3" l="1"/>
  <c r="F564" i="3"/>
  <c r="C564" i="3"/>
  <c r="G564" i="3" s="1"/>
  <c r="H564" i="3" s="1"/>
  <c r="A565" i="3" s="1"/>
  <c r="B565" i="3" l="1"/>
  <c r="F565" i="3"/>
  <c r="C565" i="3"/>
  <c r="G565" i="3" s="1"/>
  <c r="H565" i="3" s="1"/>
  <c r="A566" i="3" s="1"/>
  <c r="F566" i="3" l="1"/>
  <c r="C566" i="3"/>
  <c r="G566" i="3" s="1"/>
  <c r="H566" i="3" s="1"/>
  <c r="A567" i="3" s="1"/>
  <c r="B566" i="3"/>
  <c r="F567" i="3" l="1"/>
  <c r="B567" i="3"/>
  <c r="C567" i="3"/>
  <c r="G567" i="3" s="1"/>
  <c r="H567" i="3" s="1"/>
  <c r="A568" i="3" s="1"/>
  <c r="F568" i="3" l="1"/>
  <c r="G568" i="3" s="1"/>
  <c r="H568" i="3" s="1"/>
  <c r="A569" i="3" s="1"/>
  <c r="C568" i="3"/>
  <c r="B568" i="3"/>
  <c r="B569" i="3" l="1"/>
  <c r="F569" i="3"/>
  <c r="C569" i="3"/>
  <c r="G569" i="3" s="1"/>
  <c r="H569" i="3" s="1"/>
  <c r="A570" i="3" s="1"/>
  <c r="C570" i="3" l="1"/>
  <c r="G570" i="3" s="1"/>
  <c r="H570" i="3" s="1"/>
  <c r="A571" i="3" s="1"/>
  <c r="F570" i="3"/>
  <c r="B570" i="3"/>
  <c r="C571" i="3" l="1"/>
  <c r="G571" i="3" s="1"/>
  <c r="H571" i="3" s="1"/>
  <c r="A572" i="3" s="1"/>
  <c r="B571" i="3"/>
  <c r="F571" i="3"/>
  <c r="F572" i="3" l="1"/>
  <c r="C572" i="3"/>
  <c r="G572" i="3" s="1"/>
  <c r="H572" i="3" s="1"/>
  <c r="A573" i="3" s="1"/>
  <c r="B572" i="3"/>
  <c r="B573" i="3" l="1"/>
  <c r="C573" i="3"/>
  <c r="G573" i="3" s="1"/>
  <c r="H573" i="3" s="1"/>
  <c r="A574" i="3" s="1"/>
  <c r="F573" i="3"/>
  <c r="B574" i="3" l="1"/>
  <c r="C574" i="3"/>
  <c r="G574" i="3" s="1"/>
  <c r="H574" i="3" s="1"/>
  <c r="A575" i="3" s="1"/>
  <c r="F574" i="3"/>
  <c r="C575" i="3" l="1"/>
  <c r="G575" i="3" s="1"/>
  <c r="H575" i="3" s="1"/>
  <c r="A576" i="3" s="1"/>
  <c r="F575" i="3"/>
  <c r="B575" i="3"/>
  <c r="F576" i="3" l="1"/>
  <c r="B576" i="3"/>
  <c r="C576" i="3"/>
  <c r="G576" i="3" s="1"/>
  <c r="H576" i="3" s="1"/>
  <c r="A577" i="3" s="1"/>
  <c r="F577" i="3" l="1"/>
  <c r="C577" i="3"/>
  <c r="G577" i="3" s="1"/>
  <c r="H577" i="3" s="1"/>
  <c r="A578" i="3" s="1"/>
  <c r="B577" i="3"/>
  <c r="F578" i="3" l="1"/>
  <c r="C578" i="3"/>
  <c r="G578" i="3"/>
  <c r="H578" i="3" s="1"/>
  <c r="A579" i="3" s="1"/>
  <c r="B578" i="3"/>
  <c r="F579" i="3" l="1"/>
  <c r="B579" i="3"/>
  <c r="C579" i="3"/>
  <c r="G579" i="3" s="1"/>
  <c r="H579" i="3" s="1"/>
  <c r="A580" i="3" s="1"/>
  <c r="B580" i="3" l="1"/>
  <c r="C580" i="3"/>
  <c r="G580" i="3" s="1"/>
  <c r="H580" i="3" s="1"/>
  <c r="A581" i="3" s="1"/>
  <c r="F580" i="3"/>
  <c r="F581" i="3" l="1"/>
  <c r="B581" i="3"/>
  <c r="C581" i="3"/>
  <c r="G581" i="3" s="1"/>
  <c r="H581" i="3" s="1"/>
  <c r="A582" i="3" s="1"/>
  <c r="C582" i="3" l="1"/>
  <c r="G582" i="3" s="1"/>
  <c r="H582" i="3" s="1"/>
  <c r="A583" i="3" s="1"/>
  <c r="B582" i="3"/>
  <c r="F582" i="3"/>
  <c r="B583" i="3" l="1"/>
  <c r="C583" i="3"/>
  <c r="G583" i="3" s="1"/>
  <c r="H583" i="3" s="1"/>
  <c r="A584" i="3" s="1"/>
  <c r="F583" i="3"/>
  <c r="C584" i="3" l="1"/>
  <c r="F584" i="3"/>
  <c r="G584" i="3" s="1"/>
  <c r="H584" i="3" s="1"/>
  <c r="A585" i="3" s="1"/>
  <c r="B584" i="3"/>
  <c r="B585" i="3" l="1"/>
  <c r="C585" i="3"/>
  <c r="G585" i="3" s="1"/>
  <c r="H585" i="3" s="1"/>
  <c r="A586" i="3" s="1"/>
  <c r="F585" i="3"/>
  <c r="F586" i="3" l="1"/>
  <c r="C586" i="3"/>
  <c r="G586" i="3" s="1"/>
  <c r="H586" i="3" s="1"/>
  <c r="A587" i="3" s="1"/>
  <c r="B586" i="3"/>
  <c r="F587" i="3" l="1"/>
  <c r="B587" i="3"/>
  <c r="C587" i="3"/>
  <c r="G587" i="3" s="1"/>
  <c r="H587" i="3" s="1"/>
  <c r="A588" i="3" s="1"/>
  <c r="B588" i="3" l="1"/>
  <c r="F588" i="3"/>
  <c r="G588" i="3" s="1"/>
  <c r="H588" i="3" s="1"/>
  <c r="A589" i="3" s="1"/>
  <c r="C588" i="3"/>
  <c r="C589" i="3" l="1"/>
  <c r="G589" i="3" s="1"/>
  <c r="H589" i="3" s="1"/>
  <c r="A590" i="3" s="1"/>
  <c r="B589" i="3"/>
  <c r="F589" i="3"/>
  <c r="B590" i="3" l="1"/>
  <c r="F590" i="3"/>
  <c r="C590" i="3"/>
  <c r="G590" i="3" s="1"/>
  <c r="H590" i="3" s="1"/>
  <c r="A591" i="3" s="1"/>
  <c r="F591" i="3" l="1"/>
  <c r="G591" i="3" s="1"/>
  <c r="H591" i="3" s="1"/>
  <c r="A592" i="3" s="1"/>
  <c r="C591" i="3"/>
  <c r="B591" i="3"/>
  <c r="F592" i="3" l="1"/>
  <c r="C592" i="3"/>
  <c r="G592" i="3" s="1"/>
  <c r="H592" i="3" s="1"/>
  <c r="A593" i="3" s="1"/>
  <c r="B592" i="3"/>
  <c r="B593" i="3" l="1"/>
  <c r="F593" i="3"/>
  <c r="C593" i="3"/>
  <c r="G593" i="3" s="1"/>
  <c r="H593" i="3" s="1"/>
  <c r="A594" i="3" s="1"/>
  <c r="C594" i="3" l="1"/>
  <c r="F594" i="3"/>
  <c r="G594" i="3" s="1"/>
  <c r="H594" i="3" s="1"/>
  <c r="A595" i="3" s="1"/>
  <c r="B594" i="3"/>
  <c r="C595" i="3" l="1"/>
  <c r="G595" i="3" s="1"/>
  <c r="H595" i="3" s="1"/>
  <c r="A596" i="3" s="1"/>
  <c r="B595" i="3"/>
  <c r="F595" i="3"/>
  <c r="B596" i="3" l="1"/>
  <c r="F596" i="3"/>
  <c r="C596" i="3"/>
  <c r="G596" i="3" s="1"/>
  <c r="H596" i="3" s="1"/>
  <c r="A597" i="3" s="1"/>
  <c r="F597" i="3" l="1"/>
  <c r="B597" i="3"/>
  <c r="C597" i="3"/>
  <c r="G597" i="3" s="1"/>
  <c r="H597" i="3" s="1"/>
  <c r="A598" i="3" s="1"/>
  <c r="B598" i="3" l="1"/>
  <c r="C598" i="3"/>
  <c r="F598" i="3"/>
  <c r="G598" i="3" s="1"/>
  <c r="H598" i="3" s="1"/>
  <c r="A599" i="3" s="1"/>
  <c r="C599" i="3" l="1"/>
  <c r="G599" i="3" s="1"/>
  <c r="H599" i="3" s="1"/>
  <c r="A600" i="3" s="1"/>
  <c r="B599" i="3"/>
  <c r="F599" i="3"/>
  <c r="F600" i="3" l="1"/>
  <c r="B600" i="3"/>
  <c r="C600" i="3"/>
  <c r="G600" i="3" s="1"/>
  <c r="H600" i="3" s="1"/>
  <c r="A601" i="3" s="1"/>
  <c r="C601" i="3" l="1"/>
  <c r="G601" i="3" s="1"/>
  <c r="H601" i="3" s="1"/>
  <c r="A602" i="3" s="1"/>
  <c r="B601" i="3"/>
  <c r="F601" i="3"/>
  <c r="F602" i="3" l="1"/>
  <c r="B602" i="3"/>
  <c r="C602" i="3"/>
  <c r="G602" i="3" s="1"/>
  <c r="H602" i="3" s="1"/>
  <c r="A603" i="3" s="1"/>
  <c r="F603" i="3" l="1"/>
  <c r="B603" i="3"/>
  <c r="C603" i="3"/>
  <c r="G603" i="3" s="1"/>
  <c r="H603" i="3" s="1"/>
  <c r="A604" i="3" s="1"/>
  <c r="B604" i="3" l="1"/>
  <c r="F604" i="3"/>
  <c r="C604" i="3"/>
  <c r="G604" i="3" s="1"/>
  <c r="H604" i="3" s="1"/>
  <c r="A605" i="3" s="1"/>
  <c r="B605" i="3" l="1"/>
  <c r="F605" i="3"/>
  <c r="C605" i="3"/>
  <c r="G605" i="3" s="1"/>
  <c r="H605" i="3" s="1"/>
  <c r="A606" i="3" s="1"/>
  <c r="F606" i="3" l="1"/>
  <c r="G606" i="3" s="1"/>
  <c r="H606" i="3" s="1"/>
  <c r="A607" i="3" s="1"/>
  <c r="B606" i="3"/>
  <c r="C606" i="3"/>
  <c r="F607" i="3" l="1"/>
  <c r="C607" i="3"/>
  <c r="B607" i="3"/>
  <c r="G607" i="3"/>
  <c r="H607" i="3" s="1"/>
  <c r="A608" i="3" s="1"/>
  <c r="C608" i="3" l="1"/>
  <c r="F608" i="3"/>
  <c r="G608" i="3" s="1"/>
  <c r="H608" i="3" s="1"/>
  <c r="A609" i="3" s="1"/>
  <c r="B608" i="3"/>
  <c r="B609" i="3" l="1"/>
  <c r="C609" i="3"/>
  <c r="G609" i="3" s="1"/>
  <c r="H609" i="3" s="1"/>
  <c r="A610" i="3" s="1"/>
  <c r="F609" i="3"/>
  <c r="C610" i="3" l="1"/>
  <c r="G610" i="3" s="1"/>
  <c r="H610" i="3" s="1"/>
  <c r="A611" i="3" s="1"/>
  <c r="F610" i="3"/>
  <c r="B610" i="3"/>
  <c r="B611" i="3" l="1"/>
  <c r="F611" i="3"/>
  <c r="G611" i="3"/>
  <c r="H611" i="3" s="1"/>
  <c r="A612" i="3" s="1"/>
  <c r="C611" i="3"/>
  <c r="B612" i="3" l="1"/>
  <c r="F612" i="3"/>
  <c r="C612" i="3"/>
  <c r="G612" i="3" s="1"/>
  <c r="H612" i="3" s="1"/>
  <c r="A613" i="3" s="1"/>
  <c r="F613" i="3" l="1"/>
  <c r="B613" i="3"/>
  <c r="C613" i="3"/>
  <c r="G613" i="3" s="1"/>
  <c r="H613" i="3" s="1"/>
  <c r="A614" i="3" s="1"/>
  <c r="B614" i="3" l="1"/>
  <c r="C614" i="3"/>
  <c r="G614" i="3" s="1"/>
  <c r="H614" i="3" s="1"/>
  <c r="A615" i="3" s="1"/>
  <c r="F614" i="3"/>
  <c r="F615" i="3" l="1"/>
  <c r="G615" i="3" s="1"/>
  <c r="H615" i="3" s="1"/>
  <c r="A616" i="3" s="1"/>
  <c r="B615" i="3"/>
  <c r="C615" i="3"/>
  <c r="F616" i="3" l="1"/>
  <c r="B616" i="3"/>
  <c r="G616" i="3"/>
  <c r="H616" i="3" s="1"/>
  <c r="A617" i="3" s="1"/>
  <c r="C616" i="3"/>
  <c r="C617" i="3" l="1"/>
  <c r="G617" i="3" s="1"/>
  <c r="H617" i="3" s="1"/>
  <c r="A618" i="3" s="1"/>
  <c r="B617" i="3"/>
  <c r="F617" i="3"/>
  <c r="B618" i="3" l="1"/>
  <c r="F618" i="3"/>
  <c r="C618" i="3"/>
  <c r="G618" i="3" s="1"/>
  <c r="H618" i="3" s="1"/>
  <c r="A619" i="3" s="1"/>
  <c r="B619" i="3" l="1"/>
  <c r="F619" i="3"/>
  <c r="G619" i="3" s="1"/>
  <c r="H619" i="3" s="1"/>
  <c r="A620" i="3" s="1"/>
  <c r="C619" i="3"/>
  <c r="C620" i="3" l="1"/>
  <c r="G620" i="3" s="1"/>
  <c r="H620" i="3" s="1"/>
  <c r="A621" i="3" s="1"/>
  <c r="F620" i="3"/>
  <c r="B620" i="3"/>
  <c r="F621" i="3" l="1"/>
  <c r="B621" i="3"/>
  <c r="C621" i="3"/>
  <c r="G621" i="3" s="1"/>
  <c r="H621" i="3" s="1"/>
  <c r="A622" i="3" s="1"/>
  <c r="B622" i="3" l="1"/>
  <c r="F622" i="3"/>
  <c r="C622" i="3"/>
  <c r="G622" i="3" s="1"/>
  <c r="H622" i="3" s="1"/>
  <c r="A623" i="3" s="1"/>
  <c r="F623" i="3" l="1"/>
  <c r="C623" i="3"/>
  <c r="B623" i="3"/>
  <c r="G623" i="3"/>
  <c r="H623" i="3" s="1"/>
  <c r="A624" i="3" s="1"/>
  <c r="B624" i="3" l="1"/>
  <c r="C624" i="3"/>
  <c r="F624" i="3"/>
  <c r="G624" i="3" s="1"/>
  <c r="H624" i="3" s="1"/>
  <c r="A625" i="3" s="1"/>
  <c r="B625" i="3" l="1"/>
  <c r="C625" i="3"/>
  <c r="G625" i="3" s="1"/>
  <c r="H625" i="3" s="1"/>
  <c r="A626" i="3" s="1"/>
  <c r="F625" i="3"/>
  <c r="B626" i="3" l="1"/>
  <c r="F626" i="3"/>
  <c r="C626" i="3"/>
  <c r="G626" i="3" s="1"/>
  <c r="H626" i="3" s="1"/>
  <c r="A627" i="3" s="1"/>
  <c r="F627" i="3" l="1"/>
  <c r="C627" i="3"/>
  <c r="G627" i="3" s="1"/>
  <c r="H627" i="3" s="1"/>
  <c r="A628" i="3" s="1"/>
  <c r="B627" i="3"/>
  <c r="B628" i="3" l="1"/>
  <c r="F628" i="3"/>
  <c r="H628" i="3"/>
  <c r="A629" i="3" s="1"/>
  <c r="C628" i="3"/>
  <c r="G628" i="3"/>
  <c r="F629" i="3" l="1"/>
  <c r="B629" i="3"/>
  <c r="C629" i="3"/>
  <c r="G629" i="3" s="1"/>
  <c r="H629" i="3" s="1"/>
  <c r="A630" i="3" s="1"/>
  <c r="B630" i="3" l="1"/>
  <c r="F630" i="3"/>
  <c r="C630" i="3"/>
  <c r="G630" i="3" s="1"/>
  <c r="H630" i="3" s="1"/>
  <c r="A631" i="3" s="1"/>
  <c r="C631" i="3" l="1"/>
  <c r="F631" i="3"/>
  <c r="G631" i="3" s="1"/>
  <c r="H631" i="3" s="1"/>
  <c r="A632" i="3" s="1"/>
  <c r="B631" i="3"/>
  <c r="F632" i="3" l="1"/>
  <c r="C632" i="3"/>
  <c r="B632" i="3"/>
  <c r="G632" i="3"/>
  <c r="H632" i="3" s="1"/>
  <c r="A633" i="3" s="1"/>
  <c r="F633" i="3" l="1"/>
  <c r="B633" i="3"/>
  <c r="C633" i="3"/>
  <c r="G633" i="3" s="1"/>
  <c r="H633" i="3" s="1"/>
  <c r="A634" i="3" s="1"/>
  <c r="F634" i="3" l="1"/>
  <c r="C634" i="3"/>
  <c r="G634" i="3" s="1"/>
  <c r="H634" i="3" s="1"/>
  <c r="A635" i="3" s="1"/>
  <c r="B634" i="3"/>
  <c r="C635" i="3" l="1"/>
  <c r="B635" i="3"/>
  <c r="F635" i="3"/>
  <c r="G635" i="3" s="1"/>
  <c r="H635" i="3" s="1"/>
  <c r="A636" i="3" s="1"/>
  <c r="F636" i="3" l="1"/>
  <c r="B636" i="3"/>
  <c r="C636" i="3"/>
  <c r="G636" i="3" s="1"/>
  <c r="H636" i="3" s="1"/>
  <c r="A637" i="3" s="1"/>
  <c r="C637" i="3" l="1"/>
  <c r="G637" i="3" s="1"/>
  <c r="H637" i="3" s="1"/>
  <c r="A638" i="3" s="1"/>
  <c r="B637" i="3"/>
  <c r="F637" i="3"/>
  <c r="C638" i="3" l="1"/>
  <c r="G638" i="3" s="1"/>
  <c r="H638" i="3" s="1"/>
  <c r="A639" i="3" s="1"/>
  <c r="F638" i="3"/>
  <c r="B638" i="3"/>
  <c r="B639" i="3" l="1"/>
  <c r="F639" i="3"/>
  <c r="C639" i="3"/>
  <c r="G639" i="3" s="1"/>
  <c r="H639" i="3" s="1"/>
  <c r="A640" i="3" s="1"/>
  <c r="B640" i="3" l="1"/>
  <c r="G640" i="3"/>
  <c r="H640" i="3" s="1"/>
  <c r="A641" i="3" s="1"/>
  <c r="F640" i="3"/>
  <c r="C640" i="3"/>
  <c r="C641" i="3" l="1"/>
  <c r="G641" i="3" s="1"/>
  <c r="H641" i="3" s="1"/>
  <c r="A642" i="3" s="1"/>
  <c r="F641" i="3"/>
  <c r="B641" i="3"/>
  <c r="B642" i="3" l="1"/>
  <c r="C642" i="3"/>
  <c r="G642" i="3" s="1"/>
  <c r="H642" i="3" s="1"/>
  <c r="A643" i="3" s="1"/>
  <c r="F642" i="3"/>
  <c r="C643" i="3" l="1"/>
  <c r="G643" i="3" s="1"/>
  <c r="H643" i="3" s="1"/>
  <c r="A644" i="3" s="1"/>
  <c r="B643" i="3"/>
  <c r="F643" i="3"/>
  <c r="F644" i="3" l="1"/>
  <c r="C644" i="3"/>
  <c r="G644" i="3" s="1"/>
  <c r="H644" i="3" s="1"/>
  <c r="A645" i="3" s="1"/>
  <c r="B644" i="3"/>
  <c r="F645" i="3" l="1"/>
  <c r="B645" i="3"/>
  <c r="C645" i="3"/>
  <c r="G645" i="3" s="1"/>
  <c r="H645" i="3" s="1"/>
  <c r="A646" i="3" s="1"/>
  <c r="B646" i="3" l="1"/>
  <c r="F646" i="3"/>
  <c r="C646" i="3"/>
  <c r="G646" i="3"/>
  <c r="H646" i="3"/>
  <c r="A647" i="3" s="1"/>
  <c r="F647" i="3" l="1"/>
  <c r="C647" i="3"/>
  <c r="B647" i="3"/>
  <c r="G647" i="3"/>
  <c r="H647" i="3" s="1"/>
  <c r="A648" i="3" s="1"/>
  <c r="F648" i="3" l="1"/>
  <c r="G648" i="3"/>
  <c r="H648" i="3" s="1"/>
  <c r="A649" i="3" s="1"/>
  <c r="B648" i="3"/>
  <c r="C648" i="3"/>
  <c r="F649" i="3" l="1"/>
  <c r="B649" i="3"/>
  <c r="C649" i="3"/>
  <c r="G649" i="3" s="1"/>
  <c r="H649" i="3" s="1"/>
  <c r="A650" i="3" s="1"/>
  <c r="F650" i="3" l="1"/>
  <c r="C650" i="3"/>
  <c r="G650" i="3" s="1"/>
  <c r="H650" i="3" s="1"/>
  <c r="A651" i="3" s="1"/>
  <c r="B650" i="3"/>
  <c r="C651" i="3" l="1"/>
  <c r="G651" i="3" s="1"/>
  <c r="H651" i="3" s="1"/>
  <c r="A652" i="3" s="1"/>
  <c r="F651" i="3"/>
  <c r="B651" i="3"/>
  <c r="C652" i="3" l="1"/>
  <c r="G652" i="3" s="1"/>
  <c r="H652" i="3" s="1"/>
  <c r="A653" i="3" s="1"/>
  <c r="B652" i="3"/>
  <c r="F652" i="3"/>
  <c r="F653" i="3" l="1"/>
  <c r="B653" i="3"/>
  <c r="C653" i="3"/>
  <c r="G653" i="3" s="1"/>
  <c r="H653" i="3" s="1"/>
  <c r="A654" i="3" s="1"/>
  <c r="F654" i="3" l="1"/>
  <c r="C654" i="3"/>
  <c r="H654" i="3"/>
  <c r="A655" i="3" s="1"/>
  <c r="B654" i="3"/>
  <c r="G654" i="3"/>
  <c r="C655" i="3" l="1"/>
  <c r="G655" i="3"/>
  <c r="H655" i="3"/>
  <c r="A656" i="3" s="1"/>
  <c r="F655" i="3"/>
  <c r="B655" i="3"/>
  <c r="F656" i="3" l="1"/>
  <c r="B656" i="3"/>
  <c r="C656" i="3"/>
  <c r="G656" i="3"/>
  <c r="H656" i="3" s="1"/>
  <c r="A657" i="3" s="1"/>
  <c r="B657" i="3" l="1"/>
  <c r="F657" i="3"/>
  <c r="C657" i="3"/>
  <c r="G657" i="3" s="1"/>
  <c r="H657" i="3" s="1"/>
  <c r="A658" i="3" s="1"/>
  <c r="B658" i="3" l="1"/>
  <c r="F658" i="3"/>
  <c r="C658" i="3"/>
  <c r="G658" i="3" s="1"/>
  <c r="H658" i="3" s="1"/>
  <c r="A659" i="3" s="1"/>
  <c r="F659" i="3" l="1"/>
  <c r="B659" i="3"/>
  <c r="C659" i="3"/>
  <c r="G659" i="3" s="1"/>
  <c r="H659" i="3" s="1"/>
  <c r="A660" i="3" s="1"/>
  <c r="B660" i="3" l="1"/>
  <c r="C660" i="3"/>
  <c r="G660" i="3" s="1"/>
  <c r="H660" i="3" s="1"/>
  <c r="A661" i="3" s="1"/>
  <c r="F660" i="3"/>
  <c r="C661" i="3" l="1"/>
  <c r="F661" i="3"/>
  <c r="G661" i="3" s="1"/>
  <c r="H661" i="3" s="1"/>
  <c r="A662" i="3" s="1"/>
  <c r="B661" i="3"/>
  <c r="F662" i="3" l="1"/>
  <c r="G662" i="3" s="1"/>
  <c r="H662" i="3" s="1"/>
  <c r="A663" i="3" s="1"/>
  <c r="B662" i="3"/>
  <c r="C662" i="3"/>
  <c r="F663" i="3" l="1"/>
  <c r="C663" i="3"/>
  <c r="G663" i="3" s="1"/>
  <c r="H663" i="3" s="1"/>
  <c r="A664" i="3" s="1"/>
  <c r="B663" i="3"/>
  <c r="C664" i="3" l="1"/>
  <c r="F664" i="3"/>
  <c r="G664" i="3" s="1"/>
  <c r="H664" i="3" s="1"/>
  <c r="A665" i="3" s="1"/>
  <c r="B664" i="3"/>
  <c r="C665" i="3" l="1"/>
  <c r="B665" i="3"/>
  <c r="F665" i="3"/>
  <c r="G665" i="3" s="1"/>
  <c r="H665" i="3" s="1"/>
  <c r="A666" i="3" s="1"/>
  <c r="C666" i="3" l="1"/>
  <c r="G666" i="3" s="1"/>
  <c r="H666" i="3" s="1"/>
  <c r="A667" i="3" s="1"/>
  <c r="B666" i="3"/>
  <c r="F666" i="3"/>
  <c r="C667" i="3" l="1"/>
  <c r="G667" i="3" s="1"/>
  <c r="H667" i="3" s="1"/>
  <c r="A668" i="3" s="1"/>
  <c r="F667" i="3"/>
  <c r="B667" i="3"/>
  <c r="C668" i="3" l="1"/>
  <c r="G668" i="3" s="1"/>
  <c r="H668" i="3" s="1"/>
  <c r="A669" i="3" s="1"/>
  <c r="F668" i="3"/>
  <c r="B668" i="3"/>
  <c r="F669" i="3" l="1"/>
  <c r="C669" i="3"/>
  <c r="G669" i="3" s="1"/>
  <c r="H669" i="3" s="1"/>
  <c r="A670" i="3" s="1"/>
  <c r="B669" i="3"/>
  <c r="B670" i="3" l="1"/>
  <c r="C670" i="3"/>
  <c r="G670" i="3" s="1"/>
  <c r="H670" i="3" s="1"/>
  <c r="A671" i="3" s="1"/>
  <c r="F670" i="3"/>
  <c r="B671" i="3" l="1"/>
  <c r="F671" i="3"/>
  <c r="C671" i="3"/>
  <c r="G671" i="3" s="1"/>
  <c r="H671" i="3" s="1"/>
  <c r="A672" i="3" s="1"/>
  <c r="B672" i="3" l="1"/>
  <c r="C672" i="3"/>
  <c r="F672" i="3"/>
  <c r="G672" i="3" s="1"/>
  <c r="H672" i="3" s="1"/>
  <c r="A673" i="3" s="1"/>
  <c r="C673" i="3" l="1"/>
  <c r="G673" i="3" s="1"/>
  <c r="H673" i="3" s="1"/>
  <c r="A674" i="3" s="1"/>
  <c r="F673" i="3"/>
  <c r="B673" i="3"/>
  <c r="F674" i="3" l="1"/>
  <c r="C674" i="3"/>
  <c r="G674" i="3" s="1"/>
  <c r="H674" i="3" s="1"/>
  <c r="A675" i="3" s="1"/>
  <c r="B674" i="3"/>
  <c r="B675" i="3" l="1"/>
  <c r="F675" i="3"/>
  <c r="G675" i="3"/>
  <c r="H675" i="3" s="1"/>
  <c r="A676" i="3" s="1"/>
  <c r="C675" i="3"/>
  <c r="C676" i="3" l="1"/>
  <c r="F676" i="3"/>
  <c r="G676" i="3" s="1"/>
  <c r="H676" i="3" s="1"/>
  <c r="A677" i="3" s="1"/>
  <c r="B676" i="3"/>
  <c r="B677" i="3" l="1"/>
  <c r="C677" i="3"/>
  <c r="G677" i="3"/>
  <c r="F677" i="3"/>
  <c r="H677" i="3"/>
  <c r="A678" i="3" s="1"/>
  <c r="F678" i="3" l="1"/>
  <c r="C678" i="3"/>
  <c r="G678" i="3" s="1"/>
  <c r="H678" i="3" s="1"/>
  <c r="A679" i="3" s="1"/>
  <c r="B678" i="3"/>
  <c r="F679" i="3" l="1"/>
  <c r="B679" i="3"/>
  <c r="C679" i="3"/>
  <c r="G679" i="3" s="1"/>
  <c r="H679" i="3" s="1"/>
  <c r="A680" i="3" s="1"/>
  <c r="F680" i="3" l="1"/>
  <c r="C680" i="3"/>
  <c r="G680" i="3" s="1"/>
  <c r="H680" i="3" s="1"/>
  <c r="A681" i="3" s="1"/>
  <c r="B680" i="3"/>
  <c r="F681" i="3" l="1"/>
  <c r="B681" i="3"/>
  <c r="C681" i="3"/>
  <c r="G681" i="3" s="1"/>
  <c r="H681" i="3" s="1"/>
  <c r="A682" i="3" s="1"/>
  <c r="F682" i="3" l="1"/>
  <c r="B682" i="3"/>
  <c r="C682" i="3"/>
  <c r="G682" i="3" s="1"/>
  <c r="H682" i="3" s="1"/>
  <c r="A683" i="3" s="1"/>
  <c r="B683" i="3" l="1"/>
  <c r="F683" i="3"/>
  <c r="G683" i="3" s="1"/>
  <c r="H683" i="3" s="1"/>
  <c r="A684" i="3" s="1"/>
  <c r="C683" i="3"/>
  <c r="F684" i="3" l="1"/>
  <c r="B684" i="3"/>
  <c r="G684" i="3"/>
  <c r="H684" i="3" s="1"/>
  <c r="A685" i="3" s="1"/>
  <c r="C684" i="3"/>
  <c r="F685" i="3" l="1"/>
  <c r="C685" i="3"/>
  <c r="G685" i="3"/>
  <c r="H685" i="3" s="1"/>
  <c r="A686" i="3" s="1"/>
  <c r="B685" i="3"/>
  <c r="F686" i="3" l="1"/>
  <c r="B686" i="3"/>
  <c r="C686" i="3"/>
  <c r="G686" i="3" s="1"/>
  <c r="H686" i="3" s="1"/>
  <c r="A687" i="3" s="1"/>
  <c r="B687" i="3" l="1"/>
  <c r="F687" i="3"/>
  <c r="C687" i="3"/>
  <c r="G687" i="3" s="1"/>
  <c r="H687" i="3" s="1"/>
  <c r="A688" i="3" s="1"/>
  <c r="C688" i="3" l="1"/>
  <c r="B688" i="3"/>
  <c r="F688" i="3"/>
  <c r="G688" i="3" s="1"/>
  <c r="H688" i="3" s="1"/>
  <c r="A689" i="3" s="1"/>
  <c r="F689" i="3" l="1"/>
  <c r="C689" i="3"/>
  <c r="G689" i="3" s="1"/>
  <c r="H689" i="3" s="1"/>
  <c r="A690" i="3" s="1"/>
  <c r="B689" i="3"/>
  <c r="B690" i="3" l="1"/>
  <c r="C690" i="3"/>
  <c r="G690" i="3" s="1"/>
  <c r="H690" i="3" s="1"/>
  <c r="A691" i="3" s="1"/>
  <c r="F690" i="3"/>
  <c r="C691" i="3" l="1"/>
  <c r="F691" i="3"/>
  <c r="B691" i="3"/>
  <c r="G691" i="3"/>
  <c r="H691" i="3"/>
  <c r="A692" i="3" s="1"/>
  <c r="F692" i="3" l="1"/>
  <c r="G692" i="3"/>
  <c r="H692" i="3"/>
  <c r="A693" i="3" s="1"/>
  <c r="C692" i="3"/>
  <c r="B692" i="3"/>
  <c r="F693" i="3" l="1"/>
  <c r="B693" i="3"/>
  <c r="C693" i="3"/>
  <c r="G693" i="3" s="1"/>
  <c r="H693" i="3" s="1"/>
  <c r="A694" i="3" s="1"/>
  <c r="F694" i="3" l="1"/>
  <c r="B694" i="3"/>
  <c r="C694" i="3"/>
  <c r="G694" i="3" s="1"/>
  <c r="H694" i="3" s="1"/>
  <c r="A695" i="3" s="1"/>
  <c r="F695" i="3" l="1"/>
  <c r="B695" i="3"/>
  <c r="C695" i="3"/>
  <c r="G695" i="3" s="1"/>
  <c r="H695" i="3" s="1"/>
  <c r="A696" i="3" s="1"/>
  <c r="F696" i="3" l="1"/>
  <c r="C696" i="3"/>
  <c r="B696" i="3"/>
  <c r="G696" i="3"/>
  <c r="H696" i="3" s="1"/>
  <c r="A697" i="3" s="1"/>
  <c r="B697" i="3" l="1"/>
  <c r="C697" i="3"/>
  <c r="F697" i="3"/>
  <c r="G697" i="3" s="1"/>
  <c r="H697" i="3" s="1"/>
  <c r="A698" i="3" s="1"/>
  <c r="C698" i="3" l="1"/>
  <c r="B698" i="3"/>
  <c r="F698" i="3"/>
  <c r="G698" i="3" s="1"/>
  <c r="H698" i="3" s="1"/>
  <c r="A699" i="3" s="1"/>
  <c r="B699" i="3" l="1"/>
  <c r="F699" i="3"/>
  <c r="C699" i="3"/>
  <c r="G699" i="3" s="1"/>
  <c r="H699" i="3" s="1"/>
  <c r="A700" i="3" s="1"/>
  <c r="B700" i="3" l="1"/>
  <c r="F700" i="3"/>
  <c r="C700" i="3"/>
  <c r="G700" i="3"/>
  <c r="H700" i="3" s="1"/>
  <c r="A701" i="3" s="1"/>
  <c r="C701" i="3" l="1"/>
  <c r="G701" i="3" s="1"/>
  <c r="H701" i="3" s="1"/>
  <c r="A702" i="3" s="1"/>
  <c r="F701" i="3"/>
  <c r="B701" i="3"/>
  <c r="B702" i="3" l="1"/>
  <c r="F702" i="3"/>
  <c r="G702" i="3" s="1"/>
  <c r="H702" i="3" s="1"/>
  <c r="A703" i="3" s="1"/>
  <c r="C702" i="3"/>
  <c r="B703" i="3" l="1"/>
  <c r="F703" i="3"/>
  <c r="C703" i="3"/>
  <c r="G703" i="3" s="1"/>
  <c r="H703" i="3" s="1"/>
  <c r="A704" i="3" s="1"/>
  <c r="F704" i="3" l="1"/>
  <c r="G704" i="3" s="1"/>
  <c r="H704" i="3" s="1"/>
  <c r="A705" i="3" s="1"/>
  <c r="C704" i="3"/>
  <c r="B704" i="3"/>
  <c r="C705" i="3" l="1"/>
  <c r="G705" i="3" s="1"/>
  <c r="H705" i="3" s="1"/>
  <c r="A706" i="3" s="1"/>
  <c r="B705" i="3"/>
  <c r="F705" i="3"/>
  <c r="F706" i="3" l="1"/>
  <c r="C706" i="3"/>
  <c r="G706" i="3" s="1"/>
  <c r="H706" i="3" s="1"/>
  <c r="A707" i="3" s="1"/>
  <c r="B706" i="3"/>
  <c r="B707" i="3" l="1"/>
  <c r="C707" i="3"/>
  <c r="F707" i="3"/>
  <c r="G707" i="3" s="1"/>
  <c r="H707" i="3" s="1"/>
  <c r="A708" i="3" s="1"/>
  <c r="B708" i="3" l="1"/>
  <c r="C708" i="3"/>
  <c r="G708" i="3" s="1"/>
  <c r="H708" i="3" s="1"/>
  <c r="A709" i="3" s="1"/>
  <c r="F708" i="3"/>
  <c r="F709" i="3" l="1"/>
  <c r="C709" i="3"/>
  <c r="G709" i="3" s="1"/>
  <c r="H709" i="3" s="1"/>
  <c r="A710" i="3" s="1"/>
  <c r="B709" i="3"/>
  <c r="C710" i="3" l="1"/>
  <c r="F710" i="3"/>
  <c r="G710" i="3" s="1"/>
  <c r="H710" i="3" s="1"/>
  <c r="A711" i="3" s="1"/>
  <c r="B710" i="3"/>
  <c r="C711" i="3" l="1"/>
  <c r="F711" i="3"/>
  <c r="B711" i="3"/>
  <c r="G711" i="3"/>
  <c r="H711" i="3" s="1"/>
  <c r="A712" i="3" s="1"/>
  <c r="C712" i="3" l="1"/>
  <c r="F712" i="3"/>
  <c r="G712" i="3" s="1"/>
  <c r="H712" i="3" s="1"/>
  <c r="A713" i="3" s="1"/>
  <c r="B712" i="3"/>
  <c r="F713" i="3" l="1"/>
  <c r="G713" i="3" s="1"/>
  <c r="H713" i="3" s="1"/>
  <c r="A714" i="3" s="1"/>
  <c r="B713" i="3"/>
  <c r="C713" i="3"/>
  <c r="F714" i="3" l="1"/>
  <c r="B714" i="3"/>
  <c r="C714" i="3"/>
  <c r="G714" i="3" s="1"/>
  <c r="H714" i="3" s="1"/>
  <c r="A715" i="3" s="1"/>
  <c r="B715" i="3" l="1"/>
  <c r="F715" i="3"/>
  <c r="C715" i="3"/>
  <c r="G715" i="3" s="1"/>
  <c r="H715" i="3" s="1"/>
  <c r="A716" i="3" s="1"/>
  <c r="B716" i="3" l="1"/>
  <c r="C716" i="3"/>
  <c r="G716" i="3" s="1"/>
  <c r="H716" i="3" s="1"/>
  <c r="A717" i="3" s="1"/>
  <c r="F716" i="3"/>
  <c r="C717" i="3" l="1"/>
  <c r="B717" i="3"/>
  <c r="G717" i="3"/>
  <c r="H717" i="3" s="1"/>
  <c r="A718" i="3" s="1"/>
  <c r="F717" i="3"/>
  <c r="C718" i="3" l="1"/>
  <c r="G718" i="3" s="1"/>
  <c r="H718" i="3" s="1"/>
  <c r="A719" i="3" s="1"/>
  <c r="B718" i="3"/>
  <c r="F718" i="3"/>
  <c r="B719" i="3" l="1"/>
  <c r="C719" i="3"/>
  <c r="G719" i="3" s="1"/>
  <c r="H719" i="3" s="1"/>
  <c r="A720" i="3" s="1"/>
  <c r="F719" i="3"/>
  <c r="F720" i="3" l="1"/>
  <c r="C720" i="3"/>
  <c r="B720" i="3"/>
  <c r="G720" i="3"/>
  <c r="H720" i="3" s="1"/>
  <c r="A721" i="3" s="1"/>
  <c r="B721" i="3" l="1"/>
  <c r="F721" i="3"/>
  <c r="G721" i="3" s="1"/>
  <c r="H721" i="3" s="1"/>
  <c r="A722" i="3" s="1"/>
  <c r="C721" i="3"/>
  <c r="B722" i="3" l="1"/>
  <c r="C722" i="3"/>
  <c r="G722" i="3" s="1"/>
  <c r="H722" i="3" s="1"/>
  <c r="A723" i="3" s="1"/>
  <c r="F722" i="3"/>
  <c r="F723" i="3" l="1"/>
  <c r="B723" i="3"/>
  <c r="C723" i="3"/>
  <c r="G723" i="3"/>
  <c r="H723" i="3" s="1"/>
  <c r="A724" i="3" s="1"/>
  <c r="C724" i="3" l="1"/>
  <c r="G724" i="3" s="1"/>
  <c r="H724" i="3" s="1"/>
  <c r="A725" i="3" s="1"/>
  <c r="B724" i="3"/>
  <c r="F724" i="3"/>
  <c r="F725" i="3" l="1"/>
  <c r="B725" i="3"/>
  <c r="C725" i="3"/>
  <c r="G725" i="3" s="1"/>
  <c r="H725" i="3" s="1"/>
  <c r="A726" i="3" s="1"/>
  <c r="B726" i="3" l="1"/>
  <c r="F726" i="3"/>
  <c r="G726" i="3" s="1"/>
  <c r="H726" i="3" s="1"/>
  <c r="A727" i="3" s="1"/>
  <c r="C726" i="3"/>
  <c r="F727" i="3" l="1"/>
  <c r="C727" i="3"/>
  <c r="G727" i="3" s="1"/>
  <c r="H727" i="3" s="1"/>
  <c r="A728" i="3" s="1"/>
  <c r="B727" i="3"/>
  <c r="F728" i="3" l="1"/>
  <c r="B728" i="3"/>
  <c r="C728" i="3"/>
  <c r="G728" i="3" s="1"/>
  <c r="H728" i="3" s="1"/>
  <c r="A729" i="3" s="1"/>
  <c r="B729" i="3" l="1"/>
  <c r="C729" i="3"/>
  <c r="G729" i="3" s="1"/>
  <c r="H729" i="3" s="1"/>
  <c r="A730" i="3" s="1"/>
  <c r="F729" i="3"/>
  <c r="B730" i="3" l="1"/>
  <c r="C730" i="3"/>
  <c r="G730" i="3" s="1"/>
  <c r="H730" i="3" s="1"/>
  <c r="A731" i="3" s="1"/>
  <c r="F730" i="3"/>
  <c r="F731" i="3" l="1"/>
  <c r="B731" i="3"/>
  <c r="C731" i="3"/>
  <c r="G731" i="3" s="1"/>
  <c r="H731" i="3" s="1"/>
  <c r="A732" i="3" s="1"/>
  <c r="C732" i="3" l="1"/>
  <c r="G732" i="3" s="1"/>
  <c r="H732" i="3" s="1"/>
  <c r="A733" i="3" s="1"/>
  <c r="B732" i="3"/>
  <c r="F732" i="3"/>
  <c r="F733" i="3" l="1"/>
  <c r="C733" i="3"/>
  <c r="G733" i="3" s="1"/>
  <c r="H733" i="3" s="1"/>
  <c r="A734" i="3" s="1"/>
  <c r="B733" i="3"/>
  <c r="B734" i="3" l="1"/>
  <c r="C734" i="3"/>
  <c r="F734" i="3"/>
  <c r="G734" i="3" s="1"/>
  <c r="H734" i="3" s="1"/>
  <c r="A735" i="3" s="1"/>
  <c r="C735" i="3" l="1"/>
  <c r="B735" i="3"/>
  <c r="F735" i="3"/>
  <c r="G735" i="3" s="1"/>
  <c r="H735" i="3" s="1"/>
  <c r="A736" i="3" s="1"/>
  <c r="B736" i="3" l="1"/>
  <c r="C736" i="3"/>
  <c r="G736" i="3" s="1"/>
  <c r="H736" i="3" s="1"/>
  <c r="A737" i="3" s="1"/>
  <c r="F736" i="3"/>
  <c r="C737" i="3" l="1"/>
  <c r="G737" i="3" s="1"/>
  <c r="H737" i="3" s="1"/>
  <c r="A738" i="3" s="1"/>
  <c r="B737" i="3"/>
  <c r="F737" i="3"/>
  <c r="F738" i="3" l="1"/>
  <c r="C738" i="3"/>
  <c r="G738" i="3" s="1"/>
  <c r="H738" i="3" s="1"/>
  <c r="A739" i="3" s="1"/>
  <c r="B738" i="3"/>
  <c r="B739" i="3" l="1"/>
  <c r="C739" i="3"/>
  <c r="G739" i="3" s="1"/>
  <c r="H739" i="3" s="1"/>
  <c r="A740" i="3" s="1"/>
  <c r="F739" i="3"/>
  <c r="B740" i="3" l="1"/>
  <c r="C740" i="3"/>
  <c r="F740" i="3"/>
  <c r="G740" i="3" s="1"/>
  <c r="H740" i="3" s="1"/>
  <c r="A741" i="3" s="1"/>
  <c r="C741" i="3" l="1"/>
  <c r="G741" i="3" s="1"/>
  <c r="H741" i="3" s="1"/>
  <c r="A742" i="3" s="1"/>
  <c r="B741" i="3"/>
  <c r="F741" i="3"/>
  <c r="F742" i="3" l="1"/>
  <c r="B742" i="3"/>
  <c r="C742" i="3"/>
  <c r="G742" i="3" s="1"/>
  <c r="H742" i="3" s="1"/>
  <c r="A743" i="3" s="1"/>
  <c r="F743" i="3" l="1"/>
  <c r="C743" i="3"/>
  <c r="G743" i="3" s="1"/>
  <c r="H743" i="3" s="1"/>
  <c r="A744" i="3" s="1"/>
  <c r="B743" i="3"/>
  <c r="F744" i="3" l="1"/>
  <c r="B744" i="3"/>
  <c r="C744" i="3"/>
  <c r="G744" i="3" s="1"/>
  <c r="H744" i="3" s="1"/>
  <c r="A745" i="3" s="1"/>
  <c r="B745" i="3" l="1"/>
  <c r="F745" i="3"/>
  <c r="C745" i="3"/>
  <c r="G745" i="3" s="1"/>
  <c r="H745" i="3" s="1"/>
  <c r="A746" i="3" s="1"/>
  <c r="C746" i="3" l="1"/>
  <c r="G746" i="3" s="1"/>
  <c r="H746" i="3" s="1"/>
  <c r="A747" i="3" s="1"/>
  <c r="B746" i="3"/>
  <c r="F746" i="3"/>
  <c r="B747" i="3" l="1"/>
  <c r="F747" i="3"/>
  <c r="C747" i="3"/>
  <c r="G747" i="3" s="1"/>
  <c r="H747" i="3" s="1"/>
  <c r="A748" i="3" s="1"/>
  <c r="C748" i="3" l="1"/>
  <c r="B748" i="3"/>
  <c r="F748" i="3"/>
  <c r="G748" i="3" s="1"/>
  <c r="H748" i="3" s="1"/>
  <c r="A749" i="3" s="1"/>
  <c r="B749" i="3" l="1"/>
  <c r="C749" i="3"/>
  <c r="G749" i="3" s="1"/>
  <c r="H749" i="3" s="1"/>
  <c r="A750" i="3" s="1"/>
  <c r="F749" i="3"/>
  <c r="C750" i="3" l="1"/>
  <c r="G750" i="3" s="1"/>
  <c r="H750" i="3" s="1"/>
  <c r="A751" i="3" s="1"/>
  <c r="B750" i="3"/>
  <c r="F750" i="3"/>
  <c r="F751" i="3" l="1"/>
  <c r="B751" i="3"/>
  <c r="C751" i="3"/>
  <c r="G751" i="3" s="1"/>
  <c r="H751" i="3" s="1"/>
  <c r="A752" i="3" s="1"/>
  <c r="B752" i="3" l="1"/>
  <c r="F752" i="3"/>
  <c r="C752" i="3"/>
  <c r="G752" i="3" s="1"/>
  <c r="H752" i="3" s="1"/>
  <c r="A753" i="3" s="1"/>
  <c r="B753" i="3" l="1"/>
  <c r="F753" i="3"/>
  <c r="C753" i="3"/>
  <c r="G753" i="3" s="1"/>
  <c r="H753" i="3" s="1"/>
  <c r="A754" i="3" s="1"/>
  <c r="F754" i="3" l="1"/>
  <c r="C754" i="3"/>
  <c r="G754" i="3" s="1"/>
  <c r="H754" i="3" s="1"/>
  <c r="A755" i="3" s="1"/>
  <c r="B754" i="3"/>
  <c r="F755" i="3" l="1"/>
  <c r="B755" i="3"/>
  <c r="C755" i="3"/>
  <c r="G755" i="3" s="1"/>
  <c r="H755" i="3" s="1"/>
  <c r="A756" i="3" s="1"/>
  <c r="C756" i="3" l="1"/>
  <c r="F756" i="3"/>
  <c r="G756" i="3" s="1"/>
  <c r="H756" i="3" s="1"/>
  <c r="A757" i="3" s="1"/>
  <c r="B756" i="3"/>
  <c r="B757" i="3" l="1"/>
  <c r="F757" i="3"/>
  <c r="C757" i="3"/>
  <c r="G757" i="3" s="1"/>
  <c r="H757" i="3" s="1"/>
  <c r="A758" i="3" s="1"/>
  <c r="B758" i="3" l="1"/>
  <c r="C758" i="3"/>
  <c r="F758" i="3"/>
  <c r="G758" i="3" s="1"/>
  <c r="H758" i="3" s="1"/>
  <c r="A759" i="3" s="1"/>
  <c r="F759" i="3" l="1"/>
  <c r="C759" i="3"/>
  <c r="G759" i="3" s="1"/>
  <c r="H759" i="3" s="1"/>
  <c r="A760" i="3" s="1"/>
  <c r="B759" i="3"/>
  <c r="B760" i="3" l="1"/>
  <c r="C760" i="3"/>
  <c r="G760" i="3" s="1"/>
  <c r="H760" i="3" s="1"/>
  <c r="A761" i="3" s="1"/>
  <c r="F760" i="3"/>
  <c r="C761" i="3" l="1"/>
  <c r="G761" i="3" s="1"/>
  <c r="H761" i="3" s="1"/>
  <c r="A762" i="3" s="1"/>
  <c r="B761" i="3"/>
  <c r="F761" i="3"/>
  <c r="F762" i="3" l="1"/>
  <c r="B762" i="3"/>
  <c r="G762" i="3"/>
  <c r="H762" i="3"/>
  <c r="A763" i="3" s="1"/>
  <c r="C762" i="3"/>
  <c r="C763" i="3" l="1"/>
  <c r="G763" i="3" s="1"/>
  <c r="H763" i="3" s="1"/>
  <c r="A764" i="3" s="1"/>
  <c r="B763" i="3"/>
  <c r="F763" i="3"/>
  <c r="F764" i="3" l="1"/>
  <c r="B764" i="3"/>
  <c r="C764" i="3"/>
  <c r="G764" i="3" s="1"/>
  <c r="H764" i="3" s="1"/>
  <c r="A765" i="3" s="1"/>
  <c r="B765" i="3" l="1"/>
  <c r="C765" i="3"/>
  <c r="G765" i="3" s="1"/>
  <c r="H765" i="3" s="1"/>
  <c r="A766" i="3" s="1"/>
  <c r="F765" i="3"/>
  <c r="C766" i="3" l="1"/>
  <c r="G766" i="3" s="1"/>
  <c r="H766" i="3" s="1"/>
  <c r="A767" i="3" s="1"/>
  <c r="F766" i="3"/>
  <c r="B766" i="3"/>
  <c r="F767" i="3" l="1"/>
  <c r="B767" i="3"/>
  <c r="C767" i="3"/>
  <c r="G767" i="3" s="1"/>
  <c r="H767" i="3" s="1"/>
  <c r="A768" i="3" s="1"/>
  <c r="C768" i="3" l="1"/>
  <c r="G768" i="3" s="1"/>
  <c r="H768" i="3" s="1"/>
  <c r="A769" i="3" s="1"/>
  <c r="F768" i="3"/>
  <c r="B768" i="3"/>
  <c r="C769" i="3" l="1"/>
  <c r="G769" i="3" s="1"/>
  <c r="H769" i="3" s="1"/>
  <c r="A770" i="3" s="1"/>
  <c r="B769" i="3"/>
  <c r="F769" i="3"/>
  <c r="F770" i="3" l="1"/>
  <c r="B770" i="3"/>
  <c r="C770" i="3"/>
  <c r="G770" i="3" s="1"/>
  <c r="H770" i="3" s="1"/>
  <c r="A771" i="3" s="1"/>
  <c r="B771" i="3" l="1"/>
  <c r="C771" i="3"/>
  <c r="G771" i="3" s="1"/>
  <c r="H771" i="3" s="1"/>
  <c r="A772" i="3" s="1"/>
  <c r="F771" i="3"/>
  <c r="B772" i="3" l="1"/>
  <c r="F772" i="3"/>
  <c r="G772" i="3"/>
  <c r="H772" i="3" s="1"/>
  <c r="A773" i="3" s="1"/>
  <c r="C772" i="3"/>
  <c r="F773" i="3" l="1"/>
  <c r="B773" i="3"/>
  <c r="C773" i="3"/>
  <c r="G773" i="3"/>
  <c r="H773" i="3" s="1"/>
  <c r="A774" i="3" s="1"/>
  <c r="F774" i="3" l="1"/>
  <c r="C774" i="3"/>
  <c r="G774" i="3" s="1"/>
  <c r="H774" i="3" s="1"/>
  <c r="A775" i="3" s="1"/>
  <c r="B774" i="3"/>
  <c r="F775" i="3" l="1"/>
  <c r="B775" i="3"/>
  <c r="C775" i="3"/>
  <c r="G775" i="3" s="1"/>
  <c r="H775" i="3" s="1"/>
  <c r="A776" i="3" s="1"/>
  <c r="B776" i="3" l="1"/>
  <c r="C776" i="3"/>
  <c r="G776" i="3" s="1"/>
  <c r="H776" i="3" s="1"/>
  <c r="A777" i="3" s="1"/>
  <c r="F776" i="3"/>
  <c r="C777" i="3" l="1"/>
  <c r="G777" i="3" s="1"/>
  <c r="H777" i="3" s="1"/>
  <c r="A778" i="3" s="1"/>
  <c r="B777" i="3"/>
  <c r="F777" i="3"/>
  <c r="F778" i="3" l="1"/>
  <c r="B778" i="3"/>
  <c r="C778" i="3"/>
  <c r="G778" i="3" s="1"/>
  <c r="H778" i="3" s="1"/>
  <c r="A779" i="3" s="1"/>
  <c r="C779" i="3" l="1"/>
  <c r="G779" i="3" s="1"/>
  <c r="H779" i="3" s="1"/>
  <c r="A780" i="3" s="1"/>
  <c r="F779" i="3"/>
  <c r="B779" i="3"/>
  <c r="F780" i="3" l="1"/>
  <c r="G780" i="3" s="1"/>
  <c r="H780" i="3" s="1"/>
  <c r="A781" i="3" s="1"/>
  <c r="B780" i="3"/>
  <c r="C780" i="3"/>
  <c r="C781" i="3" l="1"/>
  <c r="G781" i="3" s="1"/>
  <c r="H781" i="3" s="1"/>
  <c r="A782" i="3" s="1"/>
  <c r="F781" i="3"/>
  <c r="B781" i="3"/>
  <c r="F782" i="3" l="1"/>
  <c r="C782" i="3"/>
  <c r="G782" i="3" s="1"/>
  <c r="H782" i="3" s="1"/>
  <c r="A783" i="3" s="1"/>
  <c r="B782" i="3"/>
  <c r="C783" i="3" l="1"/>
  <c r="B783" i="3"/>
  <c r="F783" i="3"/>
  <c r="G783" i="3" s="1"/>
  <c r="H783" i="3" s="1"/>
  <c r="A784" i="3" s="1"/>
  <c r="C784" i="3" l="1"/>
  <c r="B784" i="3"/>
  <c r="F784" i="3"/>
  <c r="G784" i="3" s="1"/>
  <c r="H784" i="3" s="1"/>
  <c r="A785" i="3" s="1"/>
  <c r="F785" i="3" l="1"/>
  <c r="C785" i="3"/>
  <c r="G785" i="3" s="1"/>
  <c r="H785" i="3" s="1"/>
  <c r="A786" i="3" s="1"/>
  <c r="B785" i="3"/>
  <c r="F786" i="3" l="1"/>
  <c r="G786" i="3" s="1"/>
  <c r="H786" i="3" s="1"/>
  <c r="A787" i="3" s="1"/>
  <c r="B786" i="3"/>
  <c r="C786" i="3"/>
  <c r="C787" i="3" l="1"/>
  <c r="F787" i="3"/>
  <c r="B787" i="3"/>
  <c r="G787" i="3"/>
  <c r="H787" i="3"/>
  <c r="A788" i="3" s="1"/>
  <c r="F788" i="3" l="1"/>
  <c r="B788" i="3"/>
  <c r="C788" i="3"/>
  <c r="G788" i="3" s="1"/>
  <c r="H788" i="3" s="1"/>
  <c r="A789" i="3" s="1"/>
  <c r="C789" i="3" l="1"/>
  <c r="B789" i="3"/>
  <c r="F789" i="3"/>
  <c r="G789" i="3" s="1"/>
  <c r="H789" i="3" s="1"/>
  <c r="A790" i="3" s="1"/>
  <c r="F790" i="3" l="1"/>
  <c r="B790" i="3"/>
  <c r="C790" i="3"/>
  <c r="G790" i="3" s="1"/>
  <c r="H790" i="3" s="1"/>
  <c r="A791" i="3" s="1"/>
  <c r="B791" i="3" l="1"/>
  <c r="C791" i="3"/>
  <c r="F791" i="3"/>
  <c r="G791" i="3" s="1"/>
  <c r="H791" i="3" s="1"/>
  <c r="A792" i="3" s="1"/>
  <c r="F792" i="3" l="1"/>
  <c r="C792" i="3"/>
  <c r="G792" i="3" s="1"/>
  <c r="H792" i="3" s="1"/>
  <c r="A793" i="3" s="1"/>
  <c r="B792" i="3"/>
  <c r="B793" i="3" l="1"/>
  <c r="F793" i="3"/>
  <c r="C793" i="3"/>
  <c r="G793" i="3" s="1"/>
  <c r="H793" i="3" s="1"/>
  <c r="A794" i="3" s="1"/>
  <c r="F794" i="3" l="1"/>
  <c r="B794" i="3"/>
  <c r="C794" i="3"/>
  <c r="G794" i="3" s="1"/>
  <c r="H794" i="3" s="1"/>
  <c r="A795" i="3" s="1"/>
  <c r="C795" i="3" l="1"/>
  <c r="B795" i="3"/>
  <c r="F795" i="3"/>
  <c r="G795" i="3" s="1"/>
  <c r="H795" i="3" s="1"/>
  <c r="A796" i="3" s="1"/>
  <c r="F796" i="3" l="1"/>
  <c r="B796" i="3"/>
  <c r="C796" i="3"/>
  <c r="G796" i="3" s="1"/>
  <c r="H796" i="3" s="1"/>
  <c r="A797" i="3" s="1"/>
  <c r="F797" i="3" l="1"/>
  <c r="B797" i="3"/>
  <c r="C797" i="3"/>
  <c r="G797" i="3" s="1"/>
  <c r="H797" i="3" s="1"/>
  <c r="A798" i="3" s="1"/>
  <c r="B798" i="3" l="1"/>
  <c r="C798" i="3"/>
  <c r="F798" i="3"/>
  <c r="G798" i="3"/>
  <c r="H798" i="3" s="1"/>
  <c r="A799" i="3" s="1"/>
  <c r="F799" i="3" l="1"/>
  <c r="C799" i="3"/>
  <c r="G799" i="3" s="1"/>
  <c r="H799" i="3" s="1"/>
  <c r="A800" i="3" s="1"/>
  <c r="B799" i="3"/>
  <c r="B800" i="3" l="1"/>
  <c r="C800" i="3"/>
  <c r="G800" i="3" s="1"/>
  <c r="H800" i="3" s="1"/>
  <c r="A801" i="3" s="1"/>
  <c r="F800" i="3"/>
  <c r="B801" i="3" l="1"/>
  <c r="C801" i="3"/>
  <c r="F801" i="3"/>
  <c r="G801" i="3"/>
  <c r="H801" i="3" s="1"/>
  <c r="A802" i="3" s="1"/>
  <c r="F802" i="3" l="1"/>
  <c r="B802" i="3"/>
  <c r="C802" i="3"/>
  <c r="G802" i="3"/>
  <c r="H802" i="3"/>
  <c r="A803" i="3" s="1"/>
  <c r="C803" i="3" l="1"/>
  <c r="B803" i="3"/>
  <c r="F803" i="3"/>
  <c r="G803" i="3" s="1"/>
  <c r="H803" i="3" s="1"/>
  <c r="A804" i="3" s="1"/>
  <c r="C804" i="3" l="1"/>
  <c r="G804" i="3" s="1"/>
  <c r="H804" i="3" s="1"/>
  <c r="A805" i="3" s="1"/>
  <c r="B804" i="3"/>
  <c r="F804" i="3"/>
  <c r="F805" i="3" l="1"/>
  <c r="B805" i="3"/>
  <c r="C805" i="3"/>
  <c r="G805" i="3" s="1"/>
  <c r="H805" i="3" s="1"/>
  <c r="F9" i="3" s="1"/>
</calcChain>
</file>

<file path=xl/sharedStrings.xml><?xml version="1.0" encoding="utf-8"?>
<sst xmlns="http://schemas.openxmlformats.org/spreadsheetml/2006/main" count="43" uniqueCount="39">
  <si>
    <t>Principal</t>
  </si>
  <si>
    <t>Monthly</t>
  </si>
  <si>
    <t>Payment</t>
  </si>
  <si>
    <t>Interest</t>
  </si>
  <si>
    <t>Loan Amortization Schedule</t>
  </si>
  <si>
    <t>Summary</t>
  </si>
  <si>
    <t>Loan Amount</t>
  </si>
  <si>
    <t>Rate (per period)</t>
  </si>
  <si>
    <t>Annual</t>
  </si>
  <si>
    <t>Annual Interest Rate</t>
  </si>
  <si>
    <t>Total Payments</t>
  </si>
  <si>
    <t>Semi-Annual</t>
  </si>
  <si>
    <t>Term of Loan in Years</t>
  </si>
  <si>
    <t>Quarterly</t>
  </si>
  <si>
    <t>First Payment Date</t>
  </si>
  <si>
    <t>Bi-Monthly</t>
  </si>
  <si>
    <t>Payment Frequency</t>
  </si>
  <si>
    <t>Compound Period</t>
  </si>
  <si>
    <t>Semi-Monthly</t>
  </si>
  <si>
    <t>Payment Type</t>
  </si>
  <si>
    <t>Bi-Weekly</t>
  </si>
  <si>
    <t>Weekly</t>
  </si>
  <si>
    <t>Periods Per Year</t>
  </si>
  <si>
    <t>Months Per Period</t>
  </si>
  <si>
    <t>Number of Periods</t>
  </si>
  <si>
    <t>Amortization Schedule</t>
  </si>
  <si>
    <t>Balance</t>
  </si>
  <si>
    <t>End</t>
  </si>
  <si>
    <t>Values for Calculations</t>
  </si>
  <si>
    <t>Frequency Options</t>
  </si>
  <si>
    <t>Payment #</t>
  </si>
  <si>
    <t>Due Date</t>
  </si>
  <si>
    <t>Addt'l Payment</t>
  </si>
  <si>
    <t>Sum of Interest</t>
  </si>
  <si>
    <t>Sum of Principal</t>
  </si>
  <si>
    <t>Beginning of Period</t>
  </si>
  <si>
    <t>Sum of Loan Cost</t>
  </si>
  <si>
    <t>Error Messages</t>
  </si>
  <si>
    <t>Loan Information (Inputs)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</si>
</sst>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0.000%"/>
    <numFmt numFmtId="165" formatCode="m/d/yy;@"/>
    <numFmt numFmtId="166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6"/>
      <color indexed="9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5" fillId="3" borderId="1">
      <alignment horizontal="center" vertical="center"/>
    </xf>
    <xf numFmtId="0" fontId="1" fillId="4" borderId="2">
      <alignment horizontal="left" vertical="center" indent="1"/>
    </xf>
    <xf numFmtId="0" fontId="1" fillId="5" borderId="0" applyNumberFormat="0" applyBorder="0" applyAlignment="0" applyProtection="0"/>
    <xf numFmtId="0" fontId="10" fillId="6" borderId="20" applyNumberFormat="0" applyAlignment="0" applyProtection="0"/>
    <xf numFmtId="0" fontId="11" fillId="7" borderId="20" applyNumberFormat="0" applyAlignment="0" applyProtection="0"/>
    <xf numFmtId="0" fontId="12" fillId="0" borderId="0" applyNumberFormat="0" applyFill="0" applyBorder="0" applyAlignment="0" applyProtection="0"/>
    <xf numFmtId="0" fontId="1" fillId="8" borderId="0" applyNumberFormat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0" xfId="1" applyNumberFormat="1" applyFont="1" applyProtection="1"/>
    <xf numFmtId="164" fontId="0" fillId="0" borderId="0" xfId="1" applyNumberFormat="1" applyFont="1" applyProtection="1"/>
    <xf numFmtId="4" fontId="0" fillId="0" borderId="0" xfId="0" applyNumberFormat="1"/>
    <xf numFmtId="0" fontId="2" fillId="4" borderId="2" xfId="3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6" fillId="3" borderId="7" xfId="2" applyFont="1" applyBorder="1">
      <alignment horizontal="center" vertical="center"/>
    </xf>
    <xf numFmtId="0" fontId="6" fillId="3" borderId="8" xfId="2" applyFont="1" applyBorder="1">
      <alignment horizontal="center" vertical="center"/>
    </xf>
    <xf numFmtId="0" fontId="6" fillId="3" borderId="9" xfId="2" applyFont="1" applyBorder="1">
      <alignment horizontal="center" vertical="center"/>
    </xf>
    <xf numFmtId="0" fontId="7" fillId="5" borderId="16" xfId="4" applyFont="1" applyBorder="1" applyAlignment="1">
      <alignment horizontal="right"/>
    </xf>
    <xf numFmtId="0" fontId="7" fillId="5" borderId="1" xfId="4" applyFont="1" applyBorder="1" applyAlignment="1">
      <alignment horizontal="right"/>
    </xf>
    <xf numFmtId="0" fontId="7" fillId="5" borderId="17" xfId="4" applyFont="1" applyBorder="1" applyAlignment="1">
      <alignment horizontal="right"/>
    </xf>
    <xf numFmtId="0" fontId="7" fillId="5" borderId="13" xfId="4" applyFont="1" applyBorder="1" applyAlignment="1">
      <alignment horizontal="right"/>
    </xf>
    <xf numFmtId="0" fontId="7" fillId="5" borderId="3" xfId="4" applyFont="1" applyBorder="1" applyAlignment="1">
      <alignment horizontal="right"/>
    </xf>
    <xf numFmtId="0" fontId="7" fillId="5" borderId="14" xfId="4" applyFont="1" applyBorder="1" applyAlignment="1">
      <alignment horizontal="right"/>
    </xf>
    <xf numFmtId="0" fontId="7" fillId="5" borderId="11" xfId="4" applyFont="1" applyBorder="1" applyAlignment="1">
      <alignment horizontal="right"/>
    </xf>
    <xf numFmtId="0" fontId="7" fillId="5" borderId="0" xfId="4" applyFont="1" applyBorder="1" applyAlignment="1">
      <alignment horizontal="right"/>
    </xf>
    <xf numFmtId="0" fontId="7" fillId="5" borderId="15" xfId="4" applyFont="1" applyBorder="1" applyAlignment="1">
      <alignment horizontal="right"/>
    </xf>
    <xf numFmtId="0" fontId="9" fillId="5" borderId="18" xfId="4" applyFont="1" applyBorder="1" applyAlignment="1">
      <alignment horizontal="right" vertical="center"/>
    </xf>
    <xf numFmtId="0" fontId="9" fillId="5" borderId="2" xfId="4" applyFont="1" applyBorder="1" applyAlignment="1">
      <alignment horizontal="right" vertical="center"/>
    </xf>
    <xf numFmtId="0" fontId="9" fillId="5" borderId="19" xfId="4" applyFont="1" applyBorder="1" applyAlignment="1">
      <alignment horizontal="right" vertical="center"/>
    </xf>
    <xf numFmtId="0" fontId="7" fillId="5" borderId="12" xfId="4" applyFont="1" applyBorder="1" applyAlignment="1">
      <alignment horizontal="right"/>
    </xf>
    <xf numFmtId="0" fontId="7" fillId="5" borderId="5" xfId="4" applyFont="1" applyBorder="1" applyAlignment="1">
      <alignment horizontal="right"/>
    </xf>
    <xf numFmtId="0" fontId="7" fillId="5" borderId="10" xfId="4" applyFont="1" applyBorder="1" applyAlignment="1">
      <alignment horizontal="right"/>
    </xf>
    <xf numFmtId="0" fontId="2" fillId="4" borderId="6" xfId="3" applyFont="1" applyBorder="1" applyAlignment="1">
      <alignment horizontal="center" vertical="center"/>
    </xf>
    <xf numFmtId="0" fontId="2" fillId="4" borderId="4" xfId="3" applyFont="1" applyBorder="1" applyAlignment="1">
      <alignment horizontal="center" vertical="center"/>
    </xf>
    <xf numFmtId="0" fontId="1" fillId="5" borderId="12" xfId="4" applyBorder="1" applyAlignment="1">
      <alignment horizontal="center"/>
    </xf>
    <xf numFmtId="0" fontId="1" fillId="5" borderId="5" xfId="4" applyBorder="1" applyAlignment="1">
      <alignment horizontal="center"/>
    </xf>
    <xf numFmtId="0" fontId="1" fillId="5" borderId="10" xfId="4" applyBorder="1" applyAlignment="1">
      <alignment horizontal="center"/>
    </xf>
    <xf numFmtId="0" fontId="0" fillId="0" borderId="0" xfId="0"/>
    <xf numFmtId="0" fontId="2" fillId="4" borderId="7" xfId="3" applyFont="1" applyBorder="1" applyAlignment="1">
      <alignment horizontal="center" vertical="center"/>
    </xf>
    <xf numFmtId="0" fontId="2" fillId="4" borderId="8" xfId="3" applyFont="1" applyBorder="1" applyAlignment="1">
      <alignment horizontal="center" vertical="center"/>
    </xf>
    <xf numFmtId="0" fontId="2" fillId="4" borderId="9" xfId="3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4" fontId="8" fillId="0" borderId="0" xfId="0" applyNumberFormat="1" applyFont="1" applyBorder="1" applyAlignment="1">
      <alignment horizontal="center"/>
    </xf>
    <xf numFmtId="4" fontId="8" fillId="0" borderId="0" xfId="0" applyNumberFormat="1" applyFont="1" applyBorder="1" applyAlignment="1" applyProtection="1">
      <alignment horizontal="center"/>
      <protection locked="0"/>
    </xf>
    <xf numFmtId="4" fontId="8" fillId="0" borderId="0" xfId="0" applyNumberFormat="1" applyFont="1" applyBorder="1" applyAlignment="1">
      <alignment horizontal="right"/>
    </xf>
    <xf numFmtId="43" fontId="10" fillId="6" borderId="20" xfId="5" applyNumberFormat="1" applyProtection="1">
      <protection locked="0"/>
    </xf>
    <xf numFmtId="10" fontId="10" fillId="6" borderId="20" xfId="5" applyNumberFormat="1" applyAlignment="1" applyProtection="1">
      <alignment horizontal="right"/>
      <protection locked="0"/>
    </xf>
    <xf numFmtId="0" fontId="10" fillId="6" borderId="20" xfId="5" applyAlignment="1" applyProtection="1">
      <alignment horizontal="right"/>
      <protection locked="0"/>
    </xf>
    <xf numFmtId="14" fontId="10" fillId="6" borderId="20" xfId="5" applyNumberFormat="1" applyAlignment="1" applyProtection="1">
      <alignment horizontal="right"/>
      <protection locked="0"/>
    </xf>
    <xf numFmtId="164" fontId="11" fillId="7" borderId="20" xfId="6" applyNumberFormat="1" applyProtection="1"/>
    <xf numFmtId="41" fontId="11" fillId="7" borderId="20" xfId="6" applyNumberFormat="1" applyProtection="1"/>
    <xf numFmtId="0" fontId="11" fillId="7" borderId="20" xfId="6"/>
    <xf numFmtId="0" fontId="12" fillId="0" borderId="7" xfId="7" applyBorder="1" applyAlignment="1">
      <alignment horizontal="center"/>
    </xf>
    <xf numFmtId="0" fontId="12" fillId="0" borderId="8" xfId="7" applyBorder="1" applyAlignment="1">
      <alignment horizontal="center"/>
    </xf>
    <xf numFmtId="0" fontId="12" fillId="0" borderId="9" xfId="7" applyBorder="1" applyAlignment="1">
      <alignment horizontal="center"/>
    </xf>
    <xf numFmtId="8" fontId="11" fillId="7" borderId="20" xfId="6" applyNumberFormat="1" applyProtection="1"/>
    <xf numFmtId="0" fontId="3" fillId="0" borderId="21" xfId="0" applyFont="1" applyBorder="1" applyAlignment="1"/>
    <xf numFmtId="0" fontId="7" fillId="4" borderId="22" xfId="3" applyFont="1" applyBorder="1" applyAlignment="1">
      <alignment horizontal="center" vertical="center"/>
    </xf>
    <xf numFmtId="0" fontId="7" fillId="4" borderId="21" xfId="3" applyFont="1" applyBorder="1" applyAlignment="1">
      <alignment horizontal="center" vertical="center"/>
    </xf>
    <xf numFmtId="0" fontId="7" fillId="4" borderId="21" xfId="3" applyFont="1" applyBorder="1" applyAlignment="1">
      <alignment horizontal="center" vertical="center"/>
    </xf>
    <xf numFmtId="0" fontId="7" fillId="4" borderId="23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1" fillId="7" borderId="20" xfId="6" applyNumberFormat="1"/>
    <xf numFmtId="0" fontId="2" fillId="8" borderId="0" xfId="8" applyFont="1"/>
  </cellXfs>
  <cellStyles count="9">
    <cellStyle name="20% - Accent3" xfId="4" builtinId="38"/>
    <cellStyle name="40% - Accent2" xfId="8" builtinId="35"/>
    <cellStyle name="Calculation" xfId="6" builtinId="22"/>
    <cellStyle name="Explanatory Text" xfId="7" builtinId="53"/>
    <cellStyle name="h1" xfId="2" xr:uid="{0F93FC82-60EE-46F0-8A97-058FC85F35FC}"/>
    <cellStyle name="h2" xfId="3" xr:uid="{083734F2-B6F2-46C8-A628-5E21717AF120}"/>
    <cellStyle name="Input" xfId="5" builtinId="20"/>
    <cellStyle name="Normal" xfId="0" builtinId="0" customBuiltin="1"/>
    <cellStyle name="Percent" xfId="1" builtinId="5"/>
  </cellStyles>
  <dxfs count="2">
    <dxf>
      <font>
        <condense val="0"/>
        <extend val="0"/>
        <color indexed="10"/>
      </font>
    </dxf>
    <dxf>
      <border>
        <bottom style="thin">
          <color indexed="5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[LoanAmortSchedule.xlsx]Graphs!PivotTable4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Interest &amp; Principal Paid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Graphs!$A$1</c:f>
              <c:strCache>
                <c:ptCount val="1"/>
                <c:pt idx="0">
                  <c:v>Sum of Interest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Graphs!$A$2</c:f>
              <c:numCache>
                <c:formatCode>General</c:formatCode>
                <c:ptCount val="1"/>
                <c:pt idx="0">
                  <c:v>2546.8400000000006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B-4D07-8DFB-52B2ABD56DC2}"/>
            </c:ext>
          </c:extLst>
        </c:ser>
        <c:ser>
          <c:idx val="1"/>
          <c:order val="1"/>
          <c:tx>
            <c:strRef>
              <c:f>Graphs!$B$1</c:f>
              <c:strCache>
                <c:ptCount val="1"/>
                <c:pt idx="0">
                  <c:v>Sum of Principal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Graphs!$B$2</c:f>
              <c:numCache>
                <c:formatCode>General</c:formatCode>
                <c:ptCount val="1"/>
                <c:pt idx="0">
                  <c:v>9999.998556450566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B-4D07-8DFB-52B2ABD56D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1395712"/>
        <c:axId val="1251393216"/>
      </c:barChart>
      <c:catAx>
        <c:axId val="125139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93216"/>
        <c:crosses val="autoZero"/>
        <c:auto val="1"/>
        <c:lblAlgn val="ctr"/>
        <c:lblOffset val="100"/>
        <c:noMultiLvlLbl val="0"/>
      </c:catAx>
      <c:valAx>
        <c:axId val="12513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 Amount ($)</a:t>
                </a:r>
              </a:p>
            </c:rich>
          </c:tx>
          <c:layout>
            <c:manualLayout>
              <c:xMode val="edge"/>
              <c:yMode val="edge"/>
              <c:x val="1.6686531585220502E-2"/>
              <c:y val="0.38330869355616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</a:t>
            </a:r>
            <a:r>
              <a:rPr lang="en-US" baseline="0"/>
              <a:t> for Each Payment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Schedule!$F$24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1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pt idx="70">
                <c:v>72</c:v>
              </c:pt>
              <c:pt idx="71">
                <c:v>73</c:v>
              </c:pt>
              <c:pt idx="72">
                <c:v>74</c:v>
              </c:pt>
              <c:pt idx="73">
                <c:v>75</c:v>
              </c:pt>
              <c:pt idx="74">
                <c:v>76</c:v>
              </c:pt>
              <c:pt idx="75">
                <c:v>77</c:v>
              </c:pt>
              <c:pt idx="76">
                <c:v>78</c:v>
              </c:pt>
              <c:pt idx="77">
                <c:v>79</c:v>
              </c:pt>
              <c:pt idx="78">
                <c:v>80</c:v>
              </c:pt>
              <c:pt idx="79">
                <c:v>81</c:v>
              </c:pt>
              <c:pt idx="80">
                <c:v>82</c:v>
              </c:pt>
              <c:pt idx="81">
                <c:v>83</c:v>
              </c:pt>
              <c:pt idx="82">
                <c:v>84</c:v>
              </c:pt>
              <c:pt idx="83">
                <c:v>85</c:v>
              </c:pt>
              <c:pt idx="84">
                <c:v>86</c:v>
              </c:pt>
              <c:pt idx="85">
                <c:v>87</c:v>
              </c:pt>
              <c:pt idx="86">
                <c:v>88</c:v>
              </c:pt>
              <c:pt idx="87">
                <c:v>89</c:v>
              </c:pt>
              <c:pt idx="88">
                <c:v>90</c:v>
              </c:pt>
              <c:pt idx="89">
                <c:v>91</c:v>
              </c:pt>
              <c:pt idx="90">
                <c:v>92</c:v>
              </c:pt>
              <c:pt idx="91">
                <c:v>93</c:v>
              </c:pt>
              <c:pt idx="92">
                <c:v>94</c:v>
              </c:pt>
              <c:pt idx="93">
                <c:v>95</c:v>
              </c:pt>
              <c:pt idx="94">
                <c:v>96</c:v>
              </c:pt>
              <c:pt idx="95">
                <c:v>97</c:v>
              </c:pt>
              <c:pt idx="96">
                <c:v>98</c:v>
              </c:pt>
              <c:pt idx="97">
                <c:v>99</c:v>
              </c:pt>
              <c:pt idx="98">
                <c:v>100</c:v>
              </c:pt>
              <c:pt idx="99">
                <c:v>101</c:v>
              </c:pt>
              <c:pt idx="100">
                <c:v>102</c:v>
              </c:pt>
              <c:pt idx="101">
                <c:v>103</c:v>
              </c:pt>
              <c:pt idx="102">
                <c:v>104</c:v>
              </c:pt>
              <c:pt idx="103">
                <c:v>105</c:v>
              </c:pt>
              <c:pt idx="104">
                <c:v>106</c:v>
              </c:pt>
              <c:pt idx="105">
                <c:v>107</c:v>
              </c:pt>
              <c:pt idx="106">
                <c:v>108</c:v>
              </c:pt>
              <c:pt idx="107">
                <c:v>109</c:v>
              </c:pt>
              <c:pt idx="108">
                <c:v>110</c:v>
              </c:pt>
              <c:pt idx="109">
                <c:v>111</c:v>
              </c:pt>
              <c:pt idx="110">
                <c:v>112</c:v>
              </c:pt>
              <c:pt idx="111">
                <c:v>113</c:v>
              </c:pt>
              <c:pt idx="112">
                <c:v>114</c:v>
              </c:pt>
              <c:pt idx="113">
                <c:v>115</c:v>
              </c:pt>
              <c:pt idx="114">
                <c:v>116</c:v>
              </c:pt>
              <c:pt idx="115">
                <c:v>117</c:v>
              </c:pt>
              <c:pt idx="116">
                <c:v>118</c:v>
              </c:pt>
              <c:pt idx="117">
                <c:v>119</c:v>
              </c:pt>
              <c:pt idx="118">
                <c:v>120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Schedule!$F$25:$F$145</c15:sqref>
                  </c15:fullRef>
                </c:ext>
              </c:extLst>
              <c:f>(Schedule!$F$25,Schedule!$F$27:$F$145)</c:f>
              <c:numCache>
                <c:formatCode>#,##0.00</c:formatCode>
                <c:ptCount val="119"/>
                <c:pt idx="0">
                  <c:v>497.02</c:v>
                </c:pt>
                <c:pt idx="1">
                  <c:v>496.52</c:v>
                </c:pt>
                <c:pt idx="2">
                  <c:v>496.02</c:v>
                </c:pt>
                <c:pt idx="3">
                  <c:v>495.52</c:v>
                </c:pt>
                <c:pt idx="4">
                  <c:v>495.01</c:v>
                </c:pt>
                <c:pt idx="5">
                  <c:v>494.5</c:v>
                </c:pt>
                <c:pt idx="6">
                  <c:v>493.99</c:v>
                </c:pt>
                <c:pt idx="7">
                  <c:v>493.48</c:v>
                </c:pt>
                <c:pt idx="8">
                  <c:v>492.96</c:v>
                </c:pt>
                <c:pt idx="9">
                  <c:v>492.45</c:v>
                </c:pt>
                <c:pt idx="10">
                  <c:v>491.93</c:v>
                </c:pt>
                <c:pt idx="11">
                  <c:v>491.4</c:v>
                </c:pt>
                <c:pt idx="12">
                  <c:v>490.88</c:v>
                </c:pt>
                <c:pt idx="13">
                  <c:v>490.35</c:v>
                </c:pt>
                <c:pt idx="14">
                  <c:v>489.82</c:v>
                </c:pt>
                <c:pt idx="15">
                  <c:v>489.28</c:v>
                </c:pt>
                <c:pt idx="16">
                  <c:v>488.75</c:v>
                </c:pt>
                <c:pt idx="17">
                  <c:v>488.21</c:v>
                </c:pt>
                <c:pt idx="18">
                  <c:v>487.67</c:v>
                </c:pt>
                <c:pt idx="19">
                  <c:v>487.12</c:v>
                </c:pt>
                <c:pt idx="20">
                  <c:v>486.57</c:v>
                </c:pt>
                <c:pt idx="21">
                  <c:v>486.02</c:v>
                </c:pt>
                <c:pt idx="22">
                  <c:v>485.47</c:v>
                </c:pt>
                <c:pt idx="23">
                  <c:v>484.92</c:v>
                </c:pt>
                <c:pt idx="24">
                  <c:v>484.36</c:v>
                </c:pt>
                <c:pt idx="25">
                  <c:v>483.8</c:v>
                </c:pt>
                <c:pt idx="26">
                  <c:v>483.23</c:v>
                </c:pt>
                <c:pt idx="27">
                  <c:v>482.67</c:v>
                </c:pt>
                <c:pt idx="28">
                  <c:v>482.1</c:v>
                </c:pt>
                <c:pt idx="29">
                  <c:v>481.52</c:v>
                </c:pt>
                <c:pt idx="30">
                  <c:v>480.95</c:v>
                </c:pt>
                <c:pt idx="31">
                  <c:v>480.37</c:v>
                </c:pt>
                <c:pt idx="32">
                  <c:v>479.79</c:v>
                </c:pt>
                <c:pt idx="33">
                  <c:v>479.21</c:v>
                </c:pt>
                <c:pt idx="34">
                  <c:v>478.62</c:v>
                </c:pt>
                <c:pt idx="35">
                  <c:v>478.03</c:v>
                </c:pt>
                <c:pt idx="36">
                  <c:v>477.44</c:v>
                </c:pt>
                <c:pt idx="37">
                  <c:v>476.84</c:v>
                </c:pt>
                <c:pt idx="38">
                  <c:v>476.24</c:v>
                </c:pt>
                <c:pt idx="39">
                  <c:v>475.64</c:v>
                </c:pt>
                <c:pt idx="40">
                  <c:v>475.04</c:v>
                </c:pt>
                <c:pt idx="41">
                  <c:v>474.43</c:v>
                </c:pt>
                <c:pt idx="42">
                  <c:v>473.82</c:v>
                </c:pt>
                <c:pt idx="43">
                  <c:v>473.2</c:v>
                </c:pt>
                <c:pt idx="44">
                  <c:v>472.59</c:v>
                </c:pt>
                <c:pt idx="45">
                  <c:v>471.97</c:v>
                </c:pt>
                <c:pt idx="46">
                  <c:v>471.35</c:v>
                </c:pt>
                <c:pt idx="47">
                  <c:v>470.72</c:v>
                </c:pt>
                <c:pt idx="48">
                  <c:v>470.09</c:v>
                </c:pt>
                <c:pt idx="49">
                  <c:v>469.46</c:v>
                </c:pt>
                <c:pt idx="50">
                  <c:v>468.82</c:v>
                </c:pt>
                <c:pt idx="51">
                  <c:v>468.18</c:v>
                </c:pt>
                <c:pt idx="52">
                  <c:v>467.54</c:v>
                </c:pt>
                <c:pt idx="53">
                  <c:v>466.9</c:v>
                </c:pt>
                <c:pt idx="54">
                  <c:v>466.25</c:v>
                </c:pt>
                <c:pt idx="55">
                  <c:v>465.6</c:v>
                </c:pt>
                <c:pt idx="56">
                  <c:v>464.94</c:v>
                </c:pt>
                <c:pt idx="57">
                  <c:v>464.28</c:v>
                </c:pt>
                <c:pt idx="58">
                  <c:v>463.62</c:v>
                </c:pt>
                <c:pt idx="59">
                  <c:v>462.96</c:v>
                </c:pt>
                <c:pt idx="60">
                  <c:v>462.29</c:v>
                </c:pt>
                <c:pt idx="61">
                  <c:v>461.62</c:v>
                </c:pt>
                <c:pt idx="62">
                  <c:v>460.94</c:v>
                </c:pt>
                <c:pt idx="63">
                  <c:v>460.26</c:v>
                </c:pt>
                <c:pt idx="64">
                  <c:v>459.58</c:v>
                </c:pt>
                <c:pt idx="65">
                  <c:v>458.9</c:v>
                </c:pt>
                <c:pt idx="66">
                  <c:v>458.21</c:v>
                </c:pt>
                <c:pt idx="67">
                  <c:v>457.52</c:v>
                </c:pt>
                <c:pt idx="68">
                  <c:v>456.82</c:v>
                </c:pt>
                <c:pt idx="69">
                  <c:v>456.12</c:v>
                </c:pt>
                <c:pt idx="70">
                  <c:v>455.42</c:v>
                </c:pt>
                <c:pt idx="71">
                  <c:v>454.72</c:v>
                </c:pt>
                <c:pt idx="72">
                  <c:v>454.01</c:v>
                </c:pt>
                <c:pt idx="73">
                  <c:v>453.29</c:v>
                </c:pt>
                <c:pt idx="74">
                  <c:v>452.58</c:v>
                </c:pt>
                <c:pt idx="75">
                  <c:v>451.86</c:v>
                </c:pt>
                <c:pt idx="76">
                  <c:v>451.13</c:v>
                </c:pt>
                <c:pt idx="77">
                  <c:v>450.41</c:v>
                </c:pt>
                <c:pt idx="78">
                  <c:v>449.68</c:v>
                </c:pt>
                <c:pt idx="79">
                  <c:v>448.94</c:v>
                </c:pt>
                <c:pt idx="80">
                  <c:v>448.2</c:v>
                </c:pt>
                <c:pt idx="81">
                  <c:v>447.46</c:v>
                </c:pt>
                <c:pt idx="82">
                  <c:v>446.72</c:v>
                </c:pt>
                <c:pt idx="83">
                  <c:v>445.97</c:v>
                </c:pt>
                <c:pt idx="84">
                  <c:v>445.21</c:v>
                </c:pt>
                <c:pt idx="85">
                  <c:v>444.46</c:v>
                </c:pt>
                <c:pt idx="86">
                  <c:v>443.7</c:v>
                </c:pt>
                <c:pt idx="87">
                  <c:v>442.93</c:v>
                </c:pt>
                <c:pt idx="88">
                  <c:v>442.16</c:v>
                </c:pt>
                <c:pt idx="89">
                  <c:v>441.39</c:v>
                </c:pt>
                <c:pt idx="90">
                  <c:v>440.62</c:v>
                </c:pt>
                <c:pt idx="91">
                  <c:v>439.84</c:v>
                </c:pt>
                <c:pt idx="92">
                  <c:v>439.05</c:v>
                </c:pt>
                <c:pt idx="93">
                  <c:v>438.27</c:v>
                </c:pt>
                <c:pt idx="94">
                  <c:v>437.47</c:v>
                </c:pt>
                <c:pt idx="95">
                  <c:v>436.68</c:v>
                </c:pt>
                <c:pt idx="96">
                  <c:v>435.88</c:v>
                </c:pt>
                <c:pt idx="97">
                  <c:v>435.08</c:v>
                </c:pt>
                <c:pt idx="98">
                  <c:v>434.27</c:v>
                </c:pt>
                <c:pt idx="99">
                  <c:v>433.46</c:v>
                </c:pt>
                <c:pt idx="100">
                  <c:v>432.64</c:v>
                </c:pt>
                <c:pt idx="101">
                  <c:v>431.82</c:v>
                </c:pt>
                <c:pt idx="102">
                  <c:v>431</c:v>
                </c:pt>
                <c:pt idx="103">
                  <c:v>430.17</c:v>
                </c:pt>
                <c:pt idx="104">
                  <c:v>429.34</c:v>
                </c:pt>
                <c:pt idx="105">
                  <c:v>428.5</c:v>
                </c:pt>
                <c:pt idx="106">
                  <c:v>427.66</c:v>
                </c:pt>
                <c:pt idx="107">
                  <c:v>426.82</c:v>
                </c:pt>
                <c:pt idx="108">
                  <c:v>425.97</c:v>
                </c:pt>
                <c:pt idx="109">
                  <c:v>425.12</c:v>
                </c:pt>
                <c:pt idx="110">
                  <c:v>424.26</c:v>
                </c:pt>
                <c:pt idx="111">
                  <c:v>423.4</c:v>
                </c:pt>
                <c:pt idx="112">
                  <c:v>422.53</c:v>
                </c:pt>
                <c:pt idx="113">
                  <c:v>421.66</c:v>
                </c:pt>
                <c:pt idx="114">
                  <c:v>420.79</c:v>
                </c:pt>
                <c:pt idx="115">
                  <c:v>419.91</c:v>
                </c:pt>
                <c:pt idx="116">
                  <c:v>419.02</c:v>
                </c:pt>
                <c:pt idx="117">
                  <c:v>418.14</c:v>
                </c:pt>
                <c:pt idx="118">
                  <c:v>417.24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B-48F5-99CD-43C7B23C2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450624"/>
        <c:axId val="223451872"/>
      </c:lineChart>
      <c:catAx>
        <c:axId val="22345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Number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51872"/>
        <c:crosses val="autoZero"/>
        <c:auto val="1"/>
        <c:lblAlgn val="ctr"/>
        <c:lblOffset val="100"/>
        <c:noMultiLvlLbl val="0"/>
      </c:catAx>
      <c:valAx>
        <c:axId val="2234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Interest</a:t>
                </a:r>
                <a:r>
                  <a:rPr lang="en-US" baseline="0"/>
                  <a:t> Paid for payment n ($)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0591621280605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Balance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Schedule!$H$24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Schedule!$H$25:$H$85</c:f>
              <c:numCache>
                <c:formatCode>#,##0.00</c:formatCode>
                <c:ptCount val="60"/>
                <c:pt idx="0">
                  <c:v>99403.432313280849</c:v>
                </c:pt>
                <c:pt idx="1">
                  <c:v>99303.884626561688</c:v>
                </c:pt>
                <c:pt idx="2">
                  <c:v>99203.836939842527</c:v>
                </c:pt>
                <c:pt idx="3">
                  <c:v>99103.289253123367</c:v>
                </c:pt>
                <c:pt idx="4">
                  <c:v>99002.241566404206</c:v>
                </c:pt>
                <c:pt idx="5">
                  <c:v>98900.68387968505</c:v>
                </c:pt>
                <c:pt idx="6">
                  <c:v>98798.616192965899</c:v>
                </c:pt>
                <c:pt idx="7">
                  <c:v>98696.038506246739</c:v>
                </c:pt>
                <c:pt idx="8">
                  <c:v>98592.950819527585</c:v>
                </c:pt>
                <c:pt idx="9">
                  <c:v>98489.343132808426</c:v>
                </c:pt>
                <c:pt idx="10">
                  <c:v>98385.225446089273</c:v>
                </c:pt>
                <c:pt idx="11">
                  <c:v>98280.587759370115</c:v>
                </c:pt>
                <c:pt idx="12">
                  <c:v>98175.420072650959</c:v>
                </c:pt>
                <c:pt idx="13">
                  <c:v>98069.732385931798</c:v>
                </c:pt>
                <c:pt idx="14">
                  <c:v>97963.514699212639</c:v>
                </c:pt>
                <c:pt idx="15">
                  <c:v>97856.767012493481</c:v>
                </c:pt>
                <c:pt idx="16">
                  <c:v>97749.479325774329</c:v>
                </c:pt>
                <c:pt idx="17">
                  <c:v>97641.661639055179</c:v>
                </c:pt>
                <c:pt idx="18">
                  <c:v>97533.30395233602</c:v>
                </c:pt>
                <c:pt idx="19">
                  <c:v>97424.406265616868</c:v>
                </c:pt>
                <c:pt idx="20">
                  <c:v>97314.958578897713</c:v>
                </c:pt>
                <c:pt idx="21">
                  <c:v>97204.960892178555</c:v>
                </c:pt>
                <c:pt idx="22">
                  <c:v>97094.413205459394</c:v>
                </c:pt>
                <c:pt idx="23">
                  <c:v>96983.315518740244</c:v>
                </c:pt>
                <c:pt idx="24">
                  <c:v>96871.667832021092</c:v>
                </c:pt>
                <c:pt idx="25">
                  <c:v>96759.460145301942</c:v>
                </c:pt>
                <c:pt idx="26">
                  <c:v>96646.69245858278</c:v>
                </c:pt>
                <c:pt idx="27">
                  <c:v>96533.354771863626</c:v>
                </c:pt>
                <c:pt idx="28">
                  <c:v>96419.457085144473</c:v>
                </c:pt>
                <c:pt idx="29">
                  <c:v>96304.989398425314</c:v>
                </c:pt>
                <c:pt idx="30">
                  <c:v>96189.941711706153</c:v>
                </c:pt>
                <c:pt idx="31">
                  <c:v>96074.324024987</c:v>
                </c:pt>
                <c:pt idx="32">
                  <c:v>95958.126338267844</c:v>
                </c:pt>
                <c:pt idx="33">
                  <c:v>95841.348651548687</c:v>
                </c:pt>
                <c:pt idx="34">
                  <c:v>95723.990964829529</c:v>
                </c:pt>
                <c:pt idx="35">
                  <c:v>95606.043278110374</c:v>
                </c:pt>
                <c:pt idx="36">
                  <c:v>95487.505591391222</c:v>
                </c:pt>
                <c:pt idx="37">
                  <c:v>95368.377904672059</c:v>
                </c:pt>
                <c:pt idx="38">
                  <c:v>95248.650217952905</c:v>
                </c:pt>
                <c:pt idx="39">
                  <c:v>95128.322531233745</c:v>
                </c:pt>
                <c:pt idx="40">
                  <c:v>95007.394844514594</c:v>
                </c:pt>
                <c:pt idx="41">
                  <c:v>94885.867157795437</c:v>
                </c:pt>
                <c:pt idx="42">
                  <c:v>94763.72947107628</c:v>
                </c:pt>
                <c:pt idx="43">
                  <c:v>94640.981784357122</c:v>
                </c:pt>
                <c:pt idx="44">
                  <c:v>94517.614097637968</c:v>
                </c:pt>
                <c:pt idx="45">
                  <c:v>94393.636410918814</c:v>
                </c:pt>
                <c:pt idx="46">
                  <c:v>94269.038724199665</c:v>
                </c:pt>
                <c:pt idx="47">
                  <c:v>94143.821037480506</c:v>
                </c:pt>
                <c:pt idx="48">
                  <c:v>94017.973350761356</c:v>
                </c:pt>
                <c:pt idx="49">
                  <c:v>93891.495664042202</c:v>
                </c:pt>
                <c:pt idx="50">
                  <c:v>93764.387977323044</c:v>
                </c:pt>
                <c:pt idx="51">
                  <c:v>93636.640290603886</c:v>
                </c:pt>
                <c:pt idx="52">
                  <c:v>93508.252603884728</c:v>
                </c:pt>
                <c:pt idx="53">
                  <c:v>93379.224917165571</c:v>
                </c:pt>
                <c:pt idx="54">
                  <c:v>93249.557230446415</c:v>
                </c:pt>
                <c:pt idx="55">
                  <c:v>93119.239543727264</c:v>
                </c:pt>
                <c:pt idx="56">
                  <c:v>92988.271857008105</c:v>
                </c:pt>
                <c:pt idx="57">
                  <c:v>92856.644170288942</c:v>
                </c:pt>
                <c:pt idx="58">
                  <c:v>92724.356483569791</c:v>
                </c:pt>
                <c:pt idx="59">
                  <c:v>92591.408796850636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3-4852-A883-D7057C500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293008"/>
        <c:axId val="1019293424"/>
      </c:lineChart>
      <c:catAx>
        <c:axId val="101929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</a:t>
                </a:r>
                <a:r>
                  <a:rPr lang="en-US" baseline="0"/>
                  <a:t> Number</a:t>
                </a:r>
              </a:p>
            </c:rich>
          </c:tx>
          <c:layout>
            <c:manualLayout>
              <c:xMode val="edge"/>
              <c:yMode val="edge"/>
              <c:x val="0.46980736415780927"/>
              <c:y val="0.91414963817781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93424"/>
        <c:crosses val="autoZero"/>
        <c:auto val="1"/>
        <c:lblAlgn val="ctr"/>
        <c:lblOffset val="100"/>
        <c:noMultiLvlLbl val="0"/>
      </c:catAx>
      <c:valAx>
        <c:axId val="1019293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Outstanding Balance ($)</a:t>
                </a:r>
              </a:p>
            </c:rich>
          </c:tx>
          <c:layout>
            <c:manualLayout>
              <c:xMode val="edge"/>
              <c:yMode val="edge"/>
              <c:x val="1.8276762402088774E-2"/>
              <c:y val="0.3125910931174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12700</xdr:rowOff>
    </xdr:from>
    <xdr:to>
      <xdr:col>6</xdr:col>
      <xdr:colOff>44450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AC743-0D42-0F1D-EBD0-6BE81E255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19</xdr:row>
      <xdr:rowOff>76200</xdr:rowOff>
    </xdr:from>
    <xdr:to>
      <xdr:col>6</xdr:col>
      <xdr:colOff>38100</xdr:colOff>
      <xdr:row>37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5D479-1144-45A1-99B4-FC34C8F23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4109</xdr:colOff>
      <xdr:row>2</xdr:row>
      <xdr:rowOff>6350</xdr:rowOff>
    </xdr:from>
    <xdr:to>
      <xdr:col>14</xdr:col>
      <xdr:colOff>603997</xdr:colOff>
      <xdr:row>19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930CD0-7096-4DBD-8F63-4CBE80945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" refreshedDate="45814.964977199073" createdVersion="8" refreshedVersion="8" minRefreshableVersion="3" recordCount="176" xr:uid="{3AEC261A-E9D6-4731-8EAC-C989EB7A2C5A}">
  <cacheSource type="worksheet">
    <worksheetSource ref="F24:H200" sheet="Schedule"/>
  </cacheSource>
  <cacheFields count="3">
    <cacheField name="Interest" numFmtId="4">
      <sharedItems containsBlank="1" containsMixedTypes="1" containsNumber="1" minValue="0" maxValue="81.53"/>
    </cacheField>
    <cacheField name="Principal" numFmtId="4">
      <sharedItems containsBlank="1" containsMixedTypes="1" containsNumber="1" minValue="134.79488695527309" maxValue="216.32488695527309"/>
    </cacheField>
    <cacheField name="Balance" numFmtId="4">
      <sharedItems containsMixedTypes="1" containsNumber="1" minValue="1.4435494332190046E-3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m/>
    <m/>
    <n v="10000"/>
  </r>
  <r>
    <n v="0"/>
    <n v="216.32488695527309"/>
    <n v="9783.6751130447265"/>
  </r>
  <r>
    <n v="81.53"/>
    <n v="134.79488695527309"/>
    <n v="9648.8802260894536"/>
  </r>
  <r>
    <n v="80.41"/>
    <n v="135.91488695527309"/>
    <n v="9512.9653391341799"/>
  </r>
  <r>
    <n v="79.27"/>
    <n v="137.0548869552731"/>
    <n v="9375.9104521789068"/>
  </r>
  <r>
    <n v="78.13"/>
    <n v="138.19488695527309"/>
    <n v="9237.7155652236343"/>
  </r>
  <r>
    <n v="76.98"/>
    <n v="139.34488695527307"/>
    <n v="9098.3706782683621"/>
  </r>
  <r>
    <n v="75.819999999999993"/>
    <n v="140.50488695527309"/>
    <n v="8957.8657913130883"/>
  </r>
  <r>
    <n v="74.650000000000006"/>
    <n v="141.67488695527308"/>
    <n v="8816.1909043578144"/>
  </r>
  <r>
    <n v="73.47"/>
    <n v="142.85488695527309"/>
    <n v="8673.336017402542"/>
  </r>
  <r>
    <n v="72.28"/>
    <n v="144.04488695527309"/>
    <n v="8529.2911304472691"/>
  </r>
  <r>
    <n v="71.08"/>
    <n v="145.2448869552731"/>
    <n v="8384.0462434919955"/>
  </r>
  <r>
    <n v="69.87"/>
    <n v="146.45488695527308"/>
    <n v="8237.5913565367227"/>
  </r>
  <r>
    <n v="68.650000000000006"/>
    <n v="147.67488695527308"/>
    <n v="8089.9164695814497"/>
  </r>
  <r>
    <n v="67.42"/>
    <n v="148.90488695527307"/>
    <n v="7941.0115826261763"/>
  </r>
  <r>
    <n v="66.180000000000007"/>
    <n v="150.14488695527308"/>
    <n v="7790.866695670903"/>
  </r>
  <r>
    <n v="64.92"/>
    <n v="151.40488695527307"/>
    <n v="7639.4618087156296"/>
  </r>
  <r>
    <n v="63.66"/>
    <n v="152.66488695527309"/>
    <n v="7486.7969217603568"/>
  </r>
  <r>
    <n v="62.39"/>
    <n v="153.9348869552731"/>
    <n v="7332.8620348050836"/>
  </r>
  <r>
    <n v="61.11"/>
    <n v="155.21488695527307"/>
    <n v="7177.6471478498106"/>
  </r>
  <r>
    <n v="59.81"/>
    <n v="156.51488695527308"/>
    <n v="7021.1322608945375"/>
  </r>
  <r>
    <n v="58.51"/>
    <n v="157.8148869552731"/>
    <n v="6863.3173739392641"/>
  </r>
  <r>
    <n v="57.19"/>
    <n v="159.13488695527309"/>
    <n v="6704.1824869839911"/>
  </r>
  <r>
    <n v="55.87"/>
    <n v="160.45488695527308"/>
    <n v="6543.7276000287184"/>
  </r>
  <r>
    <n v="54.53"/>
    <n v="161.79488695527309"/>
    <n v="6381.9327130734455"/>
  </r>
  <r>
    <n v="53.18"/>
    <n v="163.14488695527308"/>
    <n v="6218.7878261181722"/>
  </r>
  <r>
    <n v="51.82"/>
    <n v="164.50488695527309"/>
    <n v="6054.2829391628993"/>
  </r>
  <r>
    <n v="50.45"/>
    <n v="165.8748869552731"/>
    <n v="5888.4080522076265"/>
  </r>
  <r>
    <n v="49.07"/>
    <n v="167.25488695527309"/>
    <n v="5721.1531652523536"/>
  </r>
  <r>
    <n v="47.68"/>
    <n v="168.64488695527308"/>
    <n v="5552.5082782970803"/>
  </r>
  <r>
    <n v="46.27"/>
    <n v="170.05488695527308"/>
    <n v="5382.4533913418072"/>
  </r>
  <r>
    <n v="44.85"/>
    <n v="171.47488695527309"/>
    <n v="5210.978504386534"/>
  </r>
  <r>
    <n v="43.42"/>
    <n v="172.90488695527307"/>
    <n v="5038.0736174312606"/>
  </r>
  <r>
    <n v="41.98"/>
    <n v="174.3448869552731"/>
    <n v="4863.7287304759875"/>
  </r>
  <r>
    <n v="40.53"/>
    <n v="175.79488695527309"/>
    <n v="4687.9338435207146"/>
  </r>
  <r>
    <n v="39.07"/>
    <n v="177.25488695527309"/>
    <n v="4510.6789565654417"/>
  </r>
  <r>
    <n v="37.590000000000003"/>
    <n v="178.73488695527308"/>
    <n v="4331.9440696101683"/>
  </r>
  <r>
    <n v="36.1"/>
    <n v="180.22488695527309"/>
    <n v="4151.7191826548951"/>
  </r>
  <r>
    <n v="34.6"/>
    <n v="181.72488695527309"/>
    <n v="3969.9942956996219"/>
  </r>
  <r>
    <n v="33.08"/>
    <n v="183.2448869552731"/>
    <n v="3786.7494087443488"/>
  </r>
  <r>
    <n v="31.56"/>
    <n v="184.76488695527308"/>
    <n v="3601.9845217890756"/>
  </r>
  <r>
    <n v="30.02"/>
    <n v="186.30488695527308"/>
    <n v="3415.6796348338025"/>
  </r>
  <r>
    <n v="28.46"/>
    <n v="187.86488695527308"/>
    <n v="3227.8147478785295"/>
  </r>
  <r>
    <n v="26.9"/>
    <n v="189.42488695527308"/>
    <n v="3038.3898609232565"/>
  </r>
  <r>
    <n v="25.32"/>
    <n v="191.00488695527309"/>
    <n v="2847.3849739679836"/>
  </r>
  <r>
    <n v="23.73"/>
    <n v="192.5948869552731"/>
    <n v="2654.7900870127105"/>
  </r>
  <r>
    <n v="22.12"/>
    <n v="194.20488695527308"/>
    <n v="2460.5852000574373"/>
  </r>
  <r>
    <n v="20.5"/>
    <n v="195.82488695527309"/>
    <n v="2264.7603131021642"/>
  </r>
  <r>
    <n v="18.87"/>
    <n v="197.45488695527308"/>
    <n v="2067.305426146891"/>
  </r>
  <r>
    <n v="17.23"/>
    <n v="199.0948869552731"/>
    <n v="1868.210539191618"/>
  </r>
  <r>
    <n v="15.57"/>
    <n v="200.75488695527309"/>
    <n v="1667.4556522363448"/>
  </r>
  <r>
    <n v="13.9"/>
    <n v="202.42488695527308"/>
    <n v="1465.0307652810718"/>
  </r>
  <r>
    <n v="12.21"/>
    <n v="204.11488695527308"/>
    <n v="1260.9158783257988"/>
  </r>
  <r>
    <n v="10.51"/>
    <n v="205.8148869552731"/>
    <n v="1055.1009913705257"/>
  </r>
  <r>
    <n v="8.7899999999999991"/>
    <n v="207.53488695527309"/>
    <n v="847.56610441525254"/>
  </r>
  <r>
    <n v="7.06"/>
    <n v="209.26488695527308"/>
    <n v="638.3012174599794"/>
  </r>
  <r>
    <n v="5.32"/>
    <n v="211.00488695527309"/>
    <n v="427.2963305047063"/>
  </r>
  <r>
    <n v="3.56"/>
    <n v="212.76488695527308"/>
    <n v="214.53144354943322"/>
  </r>
  <r>
    <n v="1.79"/>
    <n v="214.53"/>
    <n v="1.4435494332190046E-3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  <r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21F6C-277D-4AF3-9660-77C5F4EF7A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2" firstHeaderRow="0" firstDataRow="1" firstDataCol="0"/>
  <pivotFields count="3">
    <pivotField dataField="1" showAll="0"/>
    <pivotField dataField="1" showAll="0"/>
    <pivotField numFmtId="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Interest" fld="0" baseField="0" baseItem="0"/>
    <dataField name="Sum of Principal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DA40-2D36-4FEE-BD7A-4FBA01726C80}">
  <dimension ref="A1:K806"/>
  <sheetViews>
    <sheetView tabSelected="1" zoomScale="85" zoomScaleNormal="85" workbookViewId="0">
      <selection sqref="A1:H1"/>
    </sheetView>
  </sheetViews>
  <sheetFormatPr defaultColWidth="9.140625" defaultRowHeight="15" x14ac:dyDescent="0.25"/>
  <cols>
    <col min="1" max="1" width="10.85546875" bestFit="1" customWidth="1"/>
    <col min="2" max="2" width="9.7109375" bestFit="1" customWidth="1"/>
    <col min="3" max="3" width="9.140625" bestFit="1" customWidth="1"/>
    <col min="4" max="4" width="18.7109375" bestFit="1" customWidth="1"/>
    <col min="5" max="5" width="5.7109375" customWidth="1"/>
    <col min="6" max="6" width="8.28515625" bestFit="1" customWidth="1"/>
    <col min="7" max="7" width="9.140625" bestFit="1" customWidth="1"/>
    <col min="8" max="8" width="10" bestFit="1" customWidth="1"/>
    <col min="9" max="9" width="6.42578125" customWidth="1"/>
    <col min="10" max="10" width="6.140625" customWidth="1"/>
    <col min="11" max="11" width="19.42578125" customWidth="1"/>
    <col min="12" max="12" width="11.85546875" customWidth="1"/>
  </cols>
  <sheetData>
    <row r="1" spans="1:11" ht="30" customHeight="1" x14ac:dyDescent="0.25">
      <c r="A1" s="8" t="s">
        <v>4</v>
      </c>
      <c r="B1" s="9"/>
      <c r="C1" s="9"/>
      <c r="D1" s="9"/>
      <c r="E1" s="9"/>
      <c r="F1" s="9"/>
      <c r="G1" s="9"/>
      <c r="H1" s="10"/>
    </row>
    <row r="2" spans="1:11" x14ac:dyDescent="0.25">
      <c r="A2" s="51"/>
      <c r="B2" s="51"/>
      <c r="C2" s="51"/>
      <c r="D2" s="51"/>
      <c r="E2" s="51"/>
      <c r="F2" s="51"/>
      <c r="G2" s="51"/>
      <c r="H2" s="51"/>
    </row>
    <row r="3" spans="1:11" x14ac:dyDescent="0.25">
      <c r="A3" s="1"/>
      <c r="B3" s="1"/>
      <c r="C3" s="1"/>
      <c r="D3" s="1"/>
      <c r="E3" s="1"/>
      <c r="F3" s="1"/>
      <c r="G3" s="1"/>
      <c r="H3" s="1"/>
    </row>
    <row r="4" spans="1:11" x14ac:dyDescent="0.25">
      <c r="A4" s="6" t="s">
        <v>38</v>
      </c>
      <c r="B4" s="6"/>
      <c r="C4" s="6"/>
      <c r="D4" s="27"/>
      <c r="F4" s="6" t="s">
        <v>5</v>
      </c>
      <c r="G4" s="6"/>
      <c r="H4" s="27"/>
    </row>
    <row r="5" spans="1:11" ht="15" customHeight="1" x14ac:dyDescent="0.25">
      <c r="A5" s="14" t="s">
        <v>6</v>
      </c>
      <c r="B5" s="15"/>
      <c r="C5" s="16"/>
      <c r="D5" s="40">
        <v>100000</v>
      </c>
      <c r="E5" s="1"/>
      <c r="F5" s="14" t="s">
        <v>7</v>
      </c>
      <c r="G5" s="16"/>
      <c r="H5" s="44">
        <f>IF(D9=D10,D6/D14,((1+D6/D14)^(D14/D13))-1)</f>
        <v>5.0000000000000001E-3</v>
      </c>
      <c r="K5" s="5"/>
    </row>
    <row r="6" spans="1:11" ht="15" customHeight="1" x14ac:dyDescent="0.25">
      <c r="A6" s="17" t="s">
        <v>9</v>
      </c>
      <c r="B6" s="18"/>
      <c r="C6" s="19"/>
      <c r="D6" s="41">
        <v>0.06</v>
      </c>
      <c r="E6" s="1"/>
      <c r="F6" s="23" t="s">
        <v>10</v>
      </c>
      <c r="G6" s="25"/>
      <c r="H6" s="45">
        <f>D17</f>
        <v>360</v>
      </c>
      <c r="K6" s="5"/>
    </row>
    <row r="7" spans="1:11" ht="15" customHeight="1" x14ac:dyDescent="0.25">
      <c r="A7" s="17" t="s">
        <v>12</v>
      </c>
      <c r="B7" s="18"/>
      <c r="C7" s="19"/>
      <c r="D7" s="42">
        <v>30</v>
      </c>
      <c r="E7" s="1"/>
      <c r="F7" s="31"/>
      <c r="G7" s="31"/>
    </row>
    <row r="8" spans="1:11" ht="15" customHeight="1" x14ac:dyDescent="0.25">
      <c r="A8" s="17" t="s">
        <v>14</v>
      </c>
      <c r="B8" s="18"/>
      <c r="C8" s="19"/>
      <c r="D8" s="43">
        <v>45292</v>
      </c>
      <c r="E8" s="1"/>
      <c r="F8" s="6" t="s">
        <v>37</v>
      </c>
      <c r="G8" s="6"/>
      <c r="H8" s="6"/>
    </row>
    <row r="9" spans="1:11" ht="15" customHeight="1" x14ac:dyDescent="0.25">
      <c r="A9" s="17" t="s">
        <v>16</v>
      </c>
      <c r="B9" s="18"/>
      <c r="C9" s="19"/>
      <c r="D9" s="43" t="s">
        <v>1</v>
      </c>
      <c r="E9" s="1"/>
      <c r="F9" s="28" t="str">
        <f>IF(AND(NOT(H805=""),H805&gt;0.004),"ERROR: Limit is 780 payments","")</f>
        <v/>
      </c>
      <c r="G9" s="29"/>
      <c r="H9" s="30"/>
    </row>
    <row r="10" spans="1:11" ht="15" customHeight="1" x14ac:dyDescent="0.25">
      <c r="A10" s="17" t="s">
        <v>17</v>
      </c>
      <c r="B10" s="18"/>
      <c r="C10" s="19"/>
      <c r="D10" s="43" t="s">
        <v>1</v>
      </c>
      <c r="F10" s="28" t="str">
        <f>IF(D14&gt;D13,"Warning: negative amortization","")</f>
        <v/>
      </c>
      <c r="G10" s="29"/>
      <c r="H10" s="30"/>
    </row>
    <row r="11" spans="1:11" ht="15" customHeight="1" x14ac:dyDescent="0.25">
      <c r="A11" s="11" t="s">
        <v>19</v>
      </c>
      <c r="B11" s="12"/>
      <c r="C11" s="13"/>
      <c r="D11" s="43" t="s">
        <v>35</v>
      </c>
    </row>
    <row r="12" spans="1:11" x14ac:dyDescent="0.25">
      <c r="A12" s="6" t="s">
        <v>28</v>
      </c>
      <c r="B12" s="6"/>
      <c r="C12" s="6"/>
      <c r="D12" s="26"/>
      <c r="E12" s="1"/>
      <c r="F12" s="32" t="s">
        <v>29</v>
      </c>
      <c r="G12" s="33"/>
      <c r="H12" s="34"/>
    </row>
    <row r="13" spans="1:11" ht="15" customHeight="1" x14ac:dyDescent="0.25">
      <c r="A13" s="14" t="s">
        <v>22</v>
      </c>
      <c r="B13" s="15"/>
      <c r="C13" s="16"/>
      <c r="D13" s="46">
        <f>INDEX({1;2;4;6;12;24;26;52},MATCH(Schedule!$D$10,$F$13:$F$20,0))</f>
        <v>12</v>
      </c>
      <c r="E13" s="1"/>
      <c r="F13" s="47" t="s">
        <v>8</v>
      </c>
      <c r="G13" s="48"/>
      <c r="H13" s="49"/>
    </row>
    <row r="14" spans="1:11" ht="15" customHeight="1" x14ac:dyDescent="0.25">
      <c r="A14" s="17" t="s">
        <v>17</v>
      </c>
      <c r="B14" s="18"/>
      <c r="C14" s="19"/>
      <c r="D14" s="46">
        <f>INDEX({1;2;4;6;12;24;26;52},MATCH(Schedule!$D$10,$F$13:$F$20,0))</f>
        <v>12</v>
      </c>
      <c r="E14" s="1"/>
      <c r="F14" s="47" t="s">
        <v>11</v>
      </c>
      <c r="G14" s="48"/>
      <c r="H14" s="49"/>
    </row>
    <row r="15" spans="1:11" ht="15" customHeight="1" x14ac:dyDescent="0.25">
      <c r="A15" s="17" t="s">
        <v>19</v>
      </c>
      <c r="B15" s="18"/>
      <c r="C15" s="19"/>
      <c r="D15" s="46">
        <f>IF(Schedule!$D$11="End of Period",0,1)</f>
        <v>1</v>
      </c>
      <c r="E15" s="1"/>
      <c r="F15" s="47" t="s">
        <v>13</v>
      </c>
      <c r="G15" s="48"/>
      <c r="H15" s="49"/>
    </row>
    <row r="16" spans="1:11" ht="15" customHeight="1" x14ac:dyDescent="0.25">
      <c r="A16" s="17" t="s">
        <v>23</v>
      </c>
      <c r="B16" s="18"/>
      <c r="C16" s="19"/>
      <c r="D16" s="46">
        <f>12/$D$13</f>
        <v>1</v>
      </c>
      <c r="E16" s="1"/>
      <c r="F16" s="47" t="s">
        <v>15</v>
      </c>
      <c r="G16" s="48"/>
      <c r="H16" s="49"/>
    </row>
    <row r="17" spans="1:11" ht="15" customHeight="1" x14ac:dyDescent="0.25">
      <c r="A17" s="23" t="s">
        <v>24</v>
      </c>
      <c r="B17" s="24"/>
      <c r="C17" s="25"/>
      <c r="D17" s="46">
        <f>$D$7*$D$13</f>
        <v>360</v>
      </c>
      <c r="E17" s="1"/>
      <c r="F17" s="47" t="s">
        <v>1</v>
      </c>
      <c r="G17" s="48"/>
      <c r="H17" s="49"/>
    </row>
    <row r="18" spans="1:11" x14ac:dyDescent="0.25">
      <c r="E18" s="1"/>
      <c r="F18" s="47" t="s">
        <v>18</v>
      </c>
      <c r="G18" s="48"/>
      <c r="H18" s="49"/>
    </row>
    <row r="19" spans="1:11" x14ac:dyDescent="0.25">
      <c r="A19" s="1"/>
      <c r="B19" s="1"/>
      <c r="C19" s="1"/>
      <c r="D19" s="1"/>
      <c r="E19" s="1"/>
      <c r="F19" s="47" t="s">
        <v>20</v>
      </c>
      <c r="G19" s="48"/>
      <c r="H19" s="49"/>
    </row>
    <row r="20" spans="1:11" ht="15.75" x14ac:dyDescent="0.25">
      <c r="A20" s="20" t="str">
        <f>D9&amp;" Payment"</f>
        <v>Monthly Payment</v>
      </c>
      <c r="B20" s="21"/>
      <c r="C20" s="22"/>
      <c r="D20" s="50">
        <f>-PMT(rate,nPer,$D$5,,pmtType)</f>
        <v>596.56768671915654</v>
      </c>
      <c r="E20" s="1"/>
      <c r="F20" s="47" t="s">
        <v>21</v>
      </c>
      <c r="G20" s="48"/>
      <c r="H20" s="49"/>
    </row>
    <row r="21" spans="1:11" x14ac:dyDescent="0.25">
      <c r="A21" s="1"/>
      <c r="B21" s="1"/>
      <c r="C21" s="1"/>
      <c r="D21" s="1"/>
      <c r="E21" s="1"/>
      <c r="F21" s="1"/>
      <c r="G21" s="1"/>
      <c r="H21" s="2"/>
    </row>
    <row r="22" spans="1:11" x14ac:dyDescent="0.25">
      <c r="A22" s="1"/>
      <c r="B22" s="1"/>
      <c r="C22" s="1"/>
      <c r="D22" s="1"/>
      <c r="E22" s="1"/>
      <c r="F22" s="1"/>
      <c r="G22" s="1"/>
      <c r="H22" s="2"/>
    </row>
    <row r="23" spans="1:11" ht="19.5" x14ac:dyDescent="0.25">
      <c r="A23" s="8" t="s">
        <v>25</v>
      </c>
      <c r="B23" s="9"/>
      <c r="C23" s="9"/>
      <c r="D23" s="9"/>
      <c r="E23" s="9"/>
      <c r="F23" s="9"/>
      <c r="G23" s="9"/>
      <c r="H23" s="10"/>
    </row>
    <row r="24" spans="1:11" ht="15" customHeight="1" x14ac:dyDescent="0.25">
      <c r="A24" s="52" t="s">
        <v>30</v>
      </c>
      <c r="B24" s="53" t="s">
        <v>31</v>
      </c>
      <c r="C24" s="53" t="s">
        <v>2</v>
      </c>
      <c r="D24" s="54" t="s">
        <v>32</v>
      </c>
      <c r="E24" s="54"/>
      <c r="F24" s="53" t="s">
        <v>3</v>
      </c>
      <c r="G24" s="53" t="s">
        <v>0</v>
      </c>
      <c r="H24" s="55" t="s">
        <v>26</v>
      </c>
    </row>
    <row r="25" spans="1:11" ht="13.5" hidden="1" customHeight="1" x14ac:dyDescent="0.25">
      <c r="D25" s="56"/>
      <c r="E25" s="56"/>
      <c r="H25">
        <f>$D$5</f>
        <v>100000</v>
      </c>
    </row>
    <row r="26" spans="1:11" x14ac:dyDescent="0.25">
      <c r="A26" s="35">
        <f>IF(H25="","",IF(OR(A25&gt;=nPer,H25&lt;=0),"",A25+1))</f>
        <v>1</v>
      </c>
      <c r="B26" s="36">
        <f t="shared" ref="B26:B89" si="0">IF(A26="","",IF(OR(periods_per_year=26,periods_per_year=52),IF(periods_per_year=26,IF(A26=1,beginDate,B25+14),IF(periods_per_year=52,IF(A26=1,beginDate,B25+7),"n/a")),IF(periods_per_year=24,DATE(YEAR(beginDate),MONTH(beginDate)+(A26-1)/2+IF(AND(DAY(beginDate)&gt;=15,MOD(A26,2)=0),1,0),IF(MOD(A26,2)=0,IF(DAY(beginDate)&gt;=15,DAY(beginDate)-14,DAY(beginDate)+14),DAY(beginDate))),IF(DAY(DATE(YEAR(beginDate),MONTH(beginDate)+(A26-1)*monthsPerPeriod,DAY(beginDate)))&lt;&gt;DAY(beginDate),DATE(YEAR(beginDate),MONTH(beginDate)+(A26-1)*monthsPerPeriod+1,0),DATE(YEAR(beginDate),MONTH(beginDate)+(A26-1)*monthsPerPeriod,DAY(beginDate))))))</f>
        <v>45292</v>
      </c>
      <c r="C26" s="37">
        <f t="shared" ref="C26:C89" si="1">IF(A26="","",IF(roundOpt,IF(OR(A26=nPer,payment&gt;ROUND((1+rate)*H25,2)),ROUND((1+rate)*H25,2),payment),IF(OR(A26=nPer,payment&gt;(1+rate)*H25),(1+rate)*H25,payment)))</f>
        <v>596.56768671915654</v>
      </c>
      <c r="D26" s="38"/>
      <c r="E26" s="38"/>
      <c r="F26" s="39">
        <f t="shared" ref="F26:F89" si="2">IF(A26="","",IF(AND(A26=1,pmtType=1),0,IF(roundOpt,ROUND(rate*H25,2),rate*H25)))</f>
        <v>0</v>
      </c>
      <c r="G26" s="39">
        <f t="shared" ref="G26:G89" si="3">IF(A26="","",C26-F26+D26)</f>
        <v>596.56768671915654</v>
      </c>
      <c r="H26" s="39">
        <f t="shared" ref="H26:H89" si="4">IF(A26="","",H25-G26)</f>
        <v>99403.432313280849</v>
      </c>
    </row>
    <row r="27" spans="1:11" x14ac:dyDescent="0.25">
      <c r="A27" s="35">
        <f t="shared" ref="A27:A89" si="5">IF(H26="","",IF(roundOpt,IF(OR(A26&gt;=nPer,ROUND(H26,2)&lt;=0),"",A26+1),IF(OR(A26&gt;=nPer,H26&lt;=0),"",A26+1)))</f>
        <v>2</v>
      </c>
      <c r="B27" s="36">
        <f t="shared" si="0"/>
        <v>45323</v>
      </c>
      <c r="C27" s="37">
        <f t="shared" si="1"/>
        <v>596.56768671915654</v>
      </c>
      <c r="D27" s="38"/>
      <c r="E27" s="38"/>
      <c r="F27" s="39">
        <f t="shared" si="2"/>
        <v>497.02</v>
      </c>
      <c r="G27" s="39">
        <f t="shared" si="3"/>
        <v>99.547686719156559</v>
      </c>
      <c r="H27" s="39">
        <f t="shared" si="4"/>
        <v>99303.884626561688</v>
      </c>
    </row>
    <row r="28" spans="1:11" x14ac:dyDescent="0.25">
      <c r="A28" s="35">
        <f t="shared" si="5"/>
        <v>3</v>
      </c>
      <c r="B28" s="36">
        <f t="shared" si="0"/>
        <v>45352</v>
      </c>
      <c r="C28" s="37">
        <f t="shared" si="1"/>
        <v>596.56768671915654</v>
      </c>
      <c r="D28" s="38"/>
      <c r="E28" s="38"/>
      <c r="F28" s="39">
        <f t="shared" si="2"/>
        <v>496.52</v>
      </c>
      <c r="G28" s="39">
        <f t="shared" si="3"/>
        <v>100.04768671915656</v>
      </c>
      <c r="H28" s="39">
        <f t="shared" si="4"/>
        <v>99203.836939842527</v>
      </c>
    </row>
    <row r="29" spans="1:11" x14ac:dyDescent="0.25">
      <c r="A29" s="35">
        <f t="shared" si="5"/>
        <v>4</v>
      </c>
      <c r="B29" s="36">
        <f t="shared" si="0"/>
        <v>45383</v>
      </c>
      <c r="C29" s="37">
        <f t="shared" si="1"/>
        <v>596.56768671915654</v>
      </c>
      <c r="D29" s="38"/>
      <c r="E29" s="38"/>
      <c r="F29" s="39">
        <f t="shared" si="2"/>
        <v>496.02</v>
      </c>
      <c r="G29" s="39">
        <f t="shared" si="3"/>
        <v>100.54768671915656</v>
      </c>
      <c r="H29" s="39">
        <f t="shared" si="4"/>
        <v>99103.289253123367</v>
      </c>
    </row>
    <row r="30" spans="1:11" x14ac:dyDescent="0.25">
      <c r="A30" s="35">
        <f t="shared" si="5"/>
        <v>5</v>
      </c>
      <c r="B30" s="36">
        <f t="shared" si="0"/>
        <v>45413</v>
      </c>
      <c r="C30" s="37">
        <f t="shared" si="1"/>
        <v>596.56768671915654</v>
      </c>
      <c r="D30" s="38"/>
      <c r="E30" s="38"/>
      <c r="F30" s="39">
        <f t="shared" si="2"/>
        <v>495.52</v>
      </c>
      <c r="G30" s="39">
        <f t="shared" si="3"/>
        <v>101.04768671915656</v>
      </c>
      <c r="H30" s="39">
        <f t="shared" si="4"/>
        <v>99002.241566404206</v>
      </c>
      <c r="K30" s="3"/>
    </row>
    <row r="31" spans="1:11" x14ac:dyDescent="0.25">
      <c r="A31" s="35">
        <f t="shared" si="5"/>
        <v>6</v>
      </c>
      <c r="B31" s="36">
        <f t="shared" si="0"/>
        <v>45444</v>
      </c>
      <c r="C31" s="37">
        <f t="shared" si="1"/>
        <v>596.56768671915654</v>
      </c>
      <c r="D31" s="38"/>
      <c r="E31" s="38"/>
      <c r="F31" s="39">
        <f t="shared" si="2"/>
        <v>495.01</v>
      </c>
      <c r="G31" s="39">
        <f t="shared" si="3"/>
        <v>101.55768671915655</v>
      </c>
      <c r="H31" s="39">
        <f t="shared" si="4"/>
        <v>98900.68387968505</v>
      </c>
      <c r="K31" s="3"/>
    </row>
    <row r="32" spans="1:11" x14ac:dyDescent="0.25">
      <c r="A32" s="35">
        <f t="shared" si="5"/>
        <v>7</v>
      </c>
      <c r="B32" s="36">
        <f t="shared" si="0"/>
        <v>45474</v>
      </c>
      <c r="C32" s="37">
        <f t="shared" si="1"/>
        <v>596.56768671915654</v>
      </c>
      <c r="D32" s="38"/>
      <c r="E32" s="38"/>
      <c r="F32" s="39">
        <f t="shared" si="2"/>
        <v>494.5</v>
      </c>
      <c r="G32" s="39">
        <f t="shared" si="3"/>
        <v>102.06768671915654</v>
      </c>
      <c r="H32" s="39">
        <f t="shared" si="4"/>
        <v>98798.616192965899</v>
      </c>
      <c r="K32" s="4"/>
    </row>
    <row r="33" spans="1:8" x14ac:dyDescent="0.25">
      <c r="A33" s="35">
        <f t="shared" si="5"/>
        <v>8</v>
      </c>
      <c r="B33" s="36">
        <f t="shared" si="0"/>
        <v>45505</v>
      </c>
      <c r="C33" s="37">
        <f t="shared" si="1"/>
        <v>596.56768671915654</v>
      </c>
      <c r="D33" s="38"/>
      <c r="E33" s="38"/>
      <c r="F33" s="39">
        <f t="shared" si="2"/>
        <v>493.99</v>
      </c>
      <c r="G33" s="39">
        <f t="shared" si="3"/>
        <v>102.57768671915653</v>
      </c>
      <c r="H33" s="39">
        <f t="shared" si="4"/>
        <v>98696.038506246739</v>
      </c>
    </row>
    <row r="34" spans="1:8" x14ac:dyDescent="0.25">
      <c r="A34" s="35">
        <f t="shared" si="5"/>
        <v>9</v>
      </c>
      <c r="B34" s="36">
        <f t="shared" si="0"/>
        <v>45536</v>
      </c>
      <c r="C34" s="37">
        <f t="shared" si="1"/>
        <v>596.56768671915654</v>
      </c>
      <c r="D34" s="38"/>
      <c r="E34" s="38"/>
      <c r="F34" s="39">
        <f t="shared" si="2"/>
        <v>493.48</v>
      </c>
      <c r="G34" s="39">
        <f t="shared" si="3"/>
        <v>103.08768671915652</v>
      </c>
      <c r="H34" s="39">
        <f t="shared" si="4"/>
        <v>98592.950819527585</v>
      </c>
    </row>
    <row r="35" spans="1:8" x14ac:dyDescent="0.25">
      <c r="A35" s="35">
        <f t="shared" si="5"/>
        <v>10</v>
      </c>
      <c r="B35" s="36">
        <f t="shared" si="0"/>
        <v>45566</v>
      </c>
      <c r="C35" s="37">
        <f t="shared" si="1"/>
        <v>596.56768671915654</v>
      </c>
      <c r="D35" s="38"/>
      <c r="E35" s="38"/>
      <c r="F35" s="39">
        <f t="shared" si="2"/>
        <v>492.96</v>
      </c>
      <c r="G35" s="39">
        <f t="shared" si="3"/>
        <v>103.60768671915656</v>
      </c>
      <c r="H35" s="39">
        <f t="shared" si="4"/>
        <v>98489.343132808426</v>
      </c>
    </row>
    <row r="36" spans="1:8" x14ac:dyDescent="0.25">
      <c r="A36" s="35">
        <f t="shared" si="5"/>
        <v>11</v>
      </c>
      <c r="B36" s="36">
        <f t="shared" si="0"/>
        <v>45597</v>
      </c>
      <c r="C36" s="37">
        <f t="shared" si="1"/>
        <v>596.56768671915654</v>
      </c>
      <c r="D36" s="38"/>
      <c r="E36" s="38"/>
      <c r="F36" s="39">
        <f t="shared" si="2"/>
        <v>492.45</v>
      </c>
      <c r="G36" s="39">
        <f t="shared" si="3"/>
        <v>104.11768671915655</v>
      </c>
      <c r="H36" s="39">
        <f t="shared" si="4"/>
        <v>98385.225446089273</v>
      </c>
    </row>
    <row r="37" spans="1:8" x14ac:dyDescent="0.25">
      <c r="A37" s="35">
        <f t="shared" si="5"/>
        <v>12</v>
      </c>
      <c r="B37" s="36">
        <f t="shared" si="0"/>
        <v>45627</v>
      </c>
      <c r="C37" s="37">
        <f t="shared" si="1"/>
        <v>596.56768671915654</v>
      </c>
      <c r="D37" s="38"/>
      <c r="E37" s="38"/>
      <c r="F37" s="39">
        <f t="shared" si="2"/>
        <v>491.93</v>
      </c>
      <c r="G37" s="39">
        <f t="shared" si="3"/>
        <v>104.63768671915653</v>
      </c>
      <c r="H37" s="39">
        <f t="shared" si="4"/>
        <v>98280.587759370115</v>
      </c>
    </row>
    <row r="38" spans="1:8" x14ac:dyDescent="0.25">
      <c r="A38" s="35">
        <f t="shared" si="5"/>
        <v>13</v>
      </c>
      <c r="B38" s="36">
        <f t="shared" si="0"/>
        <v>45658</v>
      </c>
      <c r="C38" s="37">
        <f t="shared" si="1"/>
        <v>596.56768671915654</v>
      </c>
      <c r="D38" s="38"/>
      <c r="E38" s="38"/>
      <c r="F38" s="39">
        <f t="shared" si="2"/>
        <v>491.4</v>
      </c>
      <c r="G38" s="39">
        <f t="shared" si="3"/>
        <v>105.16768671915656</v>
      </c>
      <c r="H38" s="39">
        <f t="shared" si="4"/>
        <v>98175.420072650959</v>
      </c>
    </row>
    <row r="39" spans="1:8" x14ac:dyDescent="0.25">
      <c r="A39" s="35">
        <f t="shared" si="5"/>
        <v>14</v>
      </c>
      <c r="B39" s="36">
        <f t="shared" si="0"/>
        <v>45689</v>
      </c>
      <c r="C39" s="37">
        <f t="shared" si="1"/>
        <v>596.56768671915654</v>
      </c>
      <c r="D39" s="38"/>
      <c r="E39" s="38"/>
      <c r="F39" s="39">
        <f t="shared" si="2"/>
        <v>490.88</v>
      </c>
      <c r="G39" s="39">
        <f t="shared" si="3"/>
        <v>105.68768671915655</v>
      </c>
      <c r="H39" s="39">
        <f t="shared" si="4"/>
        <v>98069.732385931798</v>
      </c>
    </row>
    <row r="40" spans="1:8" x14ac:dyDescent="0.25">
      <c r="A40" s="35">
        <f t="shared" si="5"/>
        <v>15</v>
      </c>
      <c r="B40" s="36">
        <f t="shared" si="0"/>
        <v>45717</v>
      </c>
      <c r="C40" s="37">
        <f t="shared" si="1"/>
        <v>596.56768671915654</v>
      </c>
      <c r="D40" s="38"/>
      <c r="E40" s="38"/>
      <c r="F40" s="39">
        <f t="shared" si="2"/>
        <v>490.35</v>
      </c>
      <c r="G40" s="39">
        <f t="shared" si="3"/>
        <v>106.21768671915652</v>
      </c>
      <c r="H40" s="39">
        <f t="shared" si="4"/>
        <v>97963.514699212639</v>
      </c>
    </row>
    <row r="41" spans="1:8" x14ac:dyDescent="0.25">
      <c r="A41" s="35">
        <f t="shared" si="5"/>
        <v>16</v>
      </c>
      <c r="B41" s="36">
        <f t="shared" si="0"/>
        <v>45748</v>
      </c>
      <c r="C41" s="37">
        <f t="shared" si="1"/>
        <v>596.56768671915654</v>
      </c>
      <c r="D41" s="38"/>
      <c r="E41" s="38"/>
      <c r="F41" s="39">
        <f t="shared" si="2"/>
        <v>489.82</v>
      </c>
      <c r="G41" s="39">
        <f t="shared" si="3"/>
        <v>106.74768671915655</v>
      </c>
      <c r="H41" s="39">
        <f t="shared" si="4"/>
        <v>97856.767012493481</v>
      </c>
    </row>
    <row r="42" spans="1:8" x14ac:dyDescent="0.25">
      <c r="A42" s="35">
        <f t="shared" si="5"/>
        <v>17</v>
      </c>
      <c r="B42" s="36">
        <f t="shared" si="0"/>
        <v>45778</v>
      </c>
      <c r="C42" s="37">
        <f t="shared" si="1"/>
        <v>596.56768671915654</v>
      </c>
      <c r="D42" s="38"/>
      <c r="E42" s="38"/>
      <c r="F42" s="39">
        <f t="shared" si="2"/>
        <v>489.28</v>
      </c>
      <c r="G42" s="39">
        <f t="shared" si="3"/>
        <v>107.28768671915657</v>
      </c>
      <c r="H42" s="39">
        <f t="shared" si="4"/>
        <v>97749.479325774329</v>
      </c>
    </row>
    <row r="43" spans="1:8" x14ac:dyDescent="0.25">
      <c r="A43" s="35">
        <f t="shared" si="5"/>
        <v>18</v>
      </c>
      <c r="B43" s="36">
        <f t="shared" si="0"/>
        <v>45809</v>
      </c>
      <c r="C43" s="37">
        <f t="shared" si="1"/>
        <v>596.56768671915654</v>
      </c>
      <c r="D43" s="38"/>
      <c r="E43" s="38"/>
      <c r="F43" s="39">
        <f t="shared" si="2"/>
        <v>488.75</v>
      </c>
      <c r="G43" s="39">
        <f t="shared" si="3"/>
        <v>107.81768671915654</v>
      </c>
      <c r="H43" s="39">
        <f t="shared" si="4"/>
        <v>97641.661639055179</v>
      </c>
    </row>
    <row r="44" spans="1:8" x14ac:dyDescent="0.25">
      <c r="A44" s="35">
        <f t="shared" si="5"/>
        <v>19</v>
      </c>
      <c r="B44" s="36">
        <f t="shared" si="0"/>
        <v>45839</v>
      </c>
      <c r="C44" s="37">
        <f t="shared" si="1"/>
        <v>596.56768671915654</v>
      </c>
      <c r="D44" s="38"/>
      <c r="E44" s="38"/>
      <c r="F44" s="39">
        <f t="shared" si="2"/>
        <v>488.21</v>
      </c>
      <c r="G44" s="39">
        <f t="shared" si="3"/>
        <v>108.35768671915656</v>
      </c>
      <c r="H44" s="39">
        <f t="shared" si="4"/>
        <v>97533.30395233602</v>
      </c>
    </row>
    <row r="45" spans="1:8" x14ac:dyDescent="0.25">
      <c r="A45" s="35">
        <f t="shared" si="5"/>
        <v>20</v>
      </c>
      <c r="B45" s="36">
        <f t="shared" si="0"/>
        <v>45870</v>
      </c>
      <c r="C45" s="37">
        <f t="shared" si="1"/>
        <v>596.56768671915654</v>
      </c>
      <c r="D45" s="38"/>
      <c r="E45" s="38"/>
      <c r="F45" s="39">
        <f t="shared" si="2"/>
        <v>487.67</v>
      </c>
      <c r="G45" s="39">
        <f t="shared" si="3"/>
        <v>108.89768671915652</v>
      </c>
      <c r="H45" s="39">
        <f t="shared" si="4"/>
        <v>97424.406265616868</v>
      </c>
    </row>
    <row r="46" spans="1:8" x14ac:dyDescent="0.25">
      <c r="A46" s="35">
        <f t="shared" si="5"/>
        <v>21</v>
      </c>
      <c r="B46" s="36">
        <f t="shared" si="0"/>
        <v>45901</v>
      </c>
      <c r="C46" s="37">
        <f t="shared" si="1"/>
        <v>596.56768671915654</v>
      </c>
      <c r="D46" s="38"/>
      <c r="E46" s="38"/>
      <c r="F46" s="39">
        <f t="shared" si="2"/>
        <v>487.12</v>
      </c>
      <c r="G46" s="39">
        <f t="shared" si="3"/>
        <v>109.44768671915654</v>
      </c>
      <c r="H46" s="39">
        <f t="shared" si="4"/>
        <v>97314.958578897713</v>
      </c>
    </row>
    <row r="47" spans="1:8" x14ac:dyDescent="0.25">
      <c r="A47" s="35">
        <f t="shared" si="5"/>
        <v>22</v>
      </c>
      <c r="B47" s="36">
        <f t="shared" si="0"/>
        <v>45931</v>
      </c>
      <c r="C47" s="37">
        <f t="shared" si="1"/>
        <v>596.56768671915654</v>
      </c>
      <c r="D47" s="38"/>
      <c r="E47" s="38"/>
      <c r="F47" s="39">
        <f t="shared" si="2"/>
        <v>486.57</v>
      </c>
      <c r="G47" s="39">
        <f t="shared" si="3"/>
        <v>109.99768671915655</v>
      </c>
      <c r="H47" s="39">
        <f t="shared" si="4"/>
        <v>97204.960892178555</v>
      </c>
    </row>
    <row r="48" spans="1:8" x14ac:dyDescent="0.25">
      <c r="A48" s="35">
        <f t="shared" si="5"/>
        <v>23</v>
      </c>
      <c r="B48" s="36">
        <f t="shared" si="0"/>
        <v>45962</v>
      </c>
      <c r="C48" s="37">
        <f t="shared" si="1"/>
        <v>596.56768671915654</v>
      </c>
      <c r="D48" s="38"/>
      <c r="E48" s="38"/>
      <c r="F48" s="39">
        <f t="shared" si="2"/>
        <v>486.02</v>
      </c>
      <c r="G48" s="39">
        <f t="shared" si="3"/>
        <v>110.54768671915656</v>
      </c>
      <c r="H48" s="39">
        <f t="shared" si="4"/>
        <v>97094.413205459394</v>
      </c>
    </row>
    <row r="49" spans="1:8" x14ac:dyDescent="0.25">
      <c r="A49" s="35">
        <f t="shared" si="5"/>
        <v>24</v>
      </c>
      <c r="B49" s="36">
        <f t="shared" si="0"/>
        <v>45992</v>
      </c>
      <c r="C49" s="37">
        <f t="shared" si="1"/>
        <v>596.56768671915654</v>
      </c>
      <c r="D49" s="38"/>
      <c r="E49" s="38"/>
      <c r="F49" s="39">
        <f t="shared" si="2"/>
        <v>485.47</v>
      </c>
      <c r="G49" s="39">
        <f t="shared" si="3"/>
        <v>111.09768671915651</v>
      </c>
      <c r="H49" s="39">
        <f t="shared" si="4"/>
        <v>96983.315518740244</v>
      </c>
    </row>
    <row r="50" spans="1:8" x14ac:dyDescent="0.25">
      <c r="A50" s="35">
        <f t="shared" si="5"/>
        <v>25</v>
      </c>
      <c r="B50" s="36">
        <f t="shared" si="0"/>
        <v>46023</v>
      </c>
      <c r="C50" s="37">
        <f t="shared" si="1"/>
        <v>596.56768671915654</v>
      </c>
      <c r="D50" s="38"/>
      <c r="E50" s="38"/>
      <c r="F50" s="39">
        <f t="shared" si="2"/>
        <v>484.92</v>
      </c>
      <c r="G50" s="39">
        <f t="shared" si="3"/>
        <v>111.64768671915652</v>
      </c>
      <c r="H50" s="39">
        <f t="shared" si="4"/>
        <v>96871.667832021092</v>
      </c>
    </row>
    <row r="51" spans="1:8" x14ac:dyDescent="0.25">
      <c r="A51" s="35">
        <f t="shared" si="5"/>
        <v>26</v>
      </c>
      <c r="B51" s="36">
        <f t="shared" si="0"/>
        <v>46054</v>
      </c>
      <c r="C51" s="37">
        <f t="shared" si="1"/>
        <v>596.56768671915654</v>
      </c>
      <c r="D51" s="38"/>
      <c r="E51" s="38"/>
      <c r="F51" s="39">
        <f t="shared" si="2"/>
        <v>484.36</v>
      </c>
      <c r="G51" s="39">
        <f t="shared" si="3"/>
        <v>112.20768671915653</v>
      </c>
      <c r="H51" s="39">
        <f t="shared" si="4"/>
        <v>96759.460145301942</v>
      </c>
    </row>
    <row r="52" spans="1:8" x14ac:dyDescent="0.25">
      <c r="A52" s="35">
        <f t="shared" si="5"/>
        <v>27</v>
      </c>
      <c r="B52" s="36">
        <f t="shared" si="0"/>
        <v>46082</v>
      </c>
      <c r="C52" s="37">
        <f t="shared" si="1"/>
        <v>596.56768671915654</v>
      </c>
      <c r="D52" s="38"/>
      <c r="E52" s="38"/>
      <c r="F52" s="39">
        <f t="shared" si="2"/>
        <v>483.8</v>
      </c>
      <c r="G52" s="39">
        <f t="shared" si="3"/>
        <v>112.76768671915653</v>
      </c>
      <c r="H52" s="39">
        <f t="shared" si="4"/>
        <v>96646.69245858278</v>
      </c>
    </row>
    <row r="53" spans="1:8" x14ac:dyDescent="0.25">
      <c r="A53" s="35">
        <f t="shared" si="5"/>
        <v>28</v>
      </c>
      <c r="B53" s="36">
        <f t="shared" si="0"/>
        <v>46113</v>
      </c>
      <c r="C53" s="37">
        <f t="shared" si="1"/>
        <v>596.56768671915654</v>
      </c>
      <c r="D53" s="38"/>
      <c r="E53" s="38"/>
      <c r="F53" s="39">
        <f t="shared" si="2"/>
        <v>483.23</v>
      </c>
      <c r="G53" s="39">
        <f t="shared" si="3"/>
        <v>113.33768671915652</v>
      </c>
      <c r="H53" s="39">
        <f t="shared" si="4"/>
        <v>96533.354771863626</v>
      </c>
    </row>
    <row r="54" spans="1:8" x14ac:dyDescent="0.25">
      <c r="A54" s="35">
        <f t="shared" si="5"/>
        <v>29</v>
      </c>
      <c r="B54" s="36">
        <f t="shared" si="0"/>
        <v>46143</v>
      </c>
      <c r="C54" s="37">
        <f t="shared" si="1"/>
        <v>596.56768671915654</v>
      </c>
      <c r="D54" s="38"/>
      <c r="E54" s="38"/>
      <c r="F54" s="39">
        <f t="shared" si="2"/>
        <v>482.67</v>
      </c>
      <c r="G54" s="39">
        <f t="shared" si="3"/>
        <v>113.89768671915652</v>
      </c>
      <c r="H54" s="39">
        <f t="shared" si="4"/>
        <v>96419.457085144473</v>
      </c>
    </row>
    <row r="55" spans="1:8" x14ac:dyDescent="0.25">
      <c r="A55" s="35">
        <f t="shared" si="5"/>
        <v>30</v>
      </c>
      <c r="B55" s="36">
        <f t="shared" si="0"/>
        <v>46174</v>
      </c>
      <c r="C55" s="37">
        <f t="shared" si="1"/>
        <v>596.56768671915654</v>
      </c>
      <c r="D55" s="38"/>
      <c r="E55" s="38"/>
      <c r="F55" s="39">
        <f t="shared" si="2"/>
        <v>482.1</v>
      </c>
      <c r="G55" s="39">
        <f t="shared" si="3"/>
        <v>114.46768671915652</v>
      </c>
      <c r="H55" s="39">
        <f t="shared" si="4"/>
        <v>96304.989398425314</v>
      </c>
    </row>
    <row r="56" spans="1:8" x14ac:dyDescent="0.25">
      <c r="A56" s="35">
        <f t="shared" si="5"/>
        <v>31</v>
      </c>
      <c r="B56" s="36">
        <f t="shared" si="0"/>
        <v>46204</v>
      </c>
      <c r="C56" s="37">
        <f t="shared" si="1"/>
        <v>596.56768671915654</v>
      </c>
      <c r="D56" s="38"/>
      <c r="E56" s="38"/>
      <c r="F56" s="39">
        <f t="shared" si="2"/>
        <v>481.52</v>
      </c>
      <c r="G56" s="39">
        <f t="shared" si="3"/>
        <v>115.04768671915656</v>
      </c>
      <c r="H56" s="39">
        <f t="shared" si="4"/>
        <v>96189.941711706153</v>
      </c>
    </row>
    <row r="57" spans="1:8" x14ac:dyDescent="0.25">
      <c r="A57" s="35">
        <f t="shared" si="5"/>
        <v>32</v>
      </c>
      <c r="B57" s="36">
        <f t="shared" si="0"/>
        <v>46235</v>
      </c>
      <c r="C57" s="37">
        <f t="shared" si="1"/>
        <v>596.56768671915654</v>
      </c>
      <c r="D57" s="38"/>
      <c r="E57" s="38"/>
      <c r="F57" s="39">
        <f t="shared" si="2"/>
        <v>480.95</v>
      </c>
      <c r="G57" s="39">
        <f t="shared" si="3"/>
        <v>115.61768671915655</v>
      </c>
      <c r="H57" s="39">
        <f t="shared" si="4"/>
        <v>96074.324024987</v>
      </c>
    </row>
    <row r="58" spans="1:8" x14ac:dyDescent="0.25">
      <c r="A58" s="35">
        <f t="shared" si="5"/>
        <v>33</v>
      </c>
      <c r="B58" s="36">
        <f t="shared" si="0"/>
        <v>46266</v>
      </c>
      <c r="C58" s="37">
        <f t="shared" si="1"/>
        <v>596.56768671915654</v>
      </c>
      <c r="D58" s="38"/>
      <c r="E58" s="38"/>
      <c r="F58" s="39">
        <f t="shared" si="2"/>
        <v>480.37</v>
      </c>
      <c r="G58" s="39">
        <f t="shared" si="3"/>
        <v>116.19768671915654</v>
      </c>
      <c r="H58" s="39">
        <f t="shared" si="4"/>
        <v>95958.126338267844</v>
      </c>
    </row>
    <row r="59" spans="1:8" x14ac:dyDescent="0.25">
      <c r="A59" s="35">
        <f t="shared" si="5"/>
        <v>34</v>
      </c>
      <c r="B59" s="36">
        <f t="shared" si="0"/>
        <v>46296</v>
      </c>
      <c r="C59" s="37">
        <f t="shared" si="1"/>
        <v>596.56768671915654</v>
      </c>
      <c r="D59" s="38"/>
      <c r="E59" s="38"/>
      <c r="F59" s="39">
        <f t="shared" si="2"/>
        <v>479.79</v>
      </c>
      <c r="G59" s="39">
        <f t="shared" si="3"/>
        <v>116.77768671915652</v>
      </c>
      <c r="H59" s="39">
        <f t="shared" si="4"/>
        <v>95841.348651548687</v>
      </c>
    </row>
    <row r="60" spans="1:8" x14ac:dyDescent="0.25">
      <c r="A60" s="35">
        <f t="shared" si="5"/>
        <v>35</v>
      </c>
      <c r="B60" s="36">
        <f t="shared" si="0"/>
        <v>46327</v>
      </c>
      <c r="C60" s="37">
        <f t="shared" si="1"/>
        <v>596.56768671915654</v>
      </c>
      <c r="D60" s="38"/>
      <c r="E60" s="38"/>
      <c r="F60" s="39">
        <f t="shared" si="2"/>
        <v>479.21</v>
      </c>
      <c r="G60" s="39">
        <f t="shared" si="3"/>
        <v>117.35768671915656</v>
      </c>
      <c r="H60" s="39">
        <f t="shared" si="4"/>
        <v>95723.990964829529</v>
      </c>
    </row>
    <row r="61" spans="1:8" x14ac:dyDescent="0.25">
      <c r="A61" s="35">
        <f t="shared" si="5"/>
        <v>36</v>
      </c>
      <c r="B61" s="36">
        <f t="shared" si="0"/>
        <v>46357</v>
      </c>
      <c r="C61" s="37">
        <f t="shared" si="1"/>
        <v>596.56768671915654</v>
      </c>
      <c r="D61" s="38"/>
      <c r="E61" s="38"/>
      <c r="F61" s="39">
        <f t="shared" si="2"/>
        <v>478.62</v>
      </c>
      <c r="G61" s="39">
        <f t="shared" si="3"/>
        <v>117.94768671915654</v>
      </c>
      <c r="H61" s="39">
        <f t="shared" si="4"/>
        <v>95606.043278110374</v>
      </c>
    </row>
    <row r="62" spans="1:8" x14ac:dyDescent="0.25">
      <c r="A62" s="35">
        <f t="shared" si="5"/>
        <v>37</v>
      </c>
      <c r="B62" s="36">
        <f t="shared" si="0"/>
        <v>46388</v>
      </c>
      <c r="C62" s="37">
        <f t="shared" si="1"/>
        <v>596.56768671915654</v>
      </c>
      <c r="D62" s="38"/>
      <c r="E62" s="38"/>
      <c r="F62" s="39">
        <f t="shared" si="2"/>
        <v>478.03</v>
      </c>
      <c r="G62" s="39">
        <f t="shared" si="3"/>
        <v>118.53768671915657</v>
      </c>
      <c r="H62" s="39">
        <f t="shared" si="4"/>
        <v>95487.505591391222</v>
      </c>
    </row>
    <row r="63" spans="1:8" x14ac:dyDescent="0.25">
      <c r="A63" s="35">
        <f t="shared" si="5"/>
        <v>38</v>
      </c>
      <c r="B63" s="36">
        <f t="shared" si="0"/>
        <v>46419</v>
      </c>
      <c r="C63" s="37">
        <f t="shared" si="1"/>
        <v>596.56768671915654</v>
      </c>
      <c r="D63" s="38"/>
      <c r="E63" s="38"/>
      <c r="F63" s="39">
        <f t="shared" si="2"/>
        <v>477.44</v>
      </c>
      <c r="G63" s="39">
        <f t="shared" si="3"/>
        <v>119.12768671915654</v>
      </c>
      <c r="H63" s="39">
        <f t="shared" si="4"/>
        <v>95368.377904672059</v>
      </c>
    </row>
    <row r="64" spans="1:8" x14ac:dyDescent="0.25">
      <c r="A64" s="35">
        <f t="shared" si="5"/>
        <v>39</v>
      </c>
      <c r="B64" s="36">
        <f t="shared" si="0"/>
        <v>46447</v>
      </c>
      <c r="C64" s="37">
        <f t="shared" si="1"/>
        <v>596.56768671915654</v>
      </c>
      <c r="D64" s="38"/>
      <c r="E64" s="38"/>
      <c r="F64" s="39">
        <f t="shared" si="2"/>
        <v>476.84</v>
      </c>
      <c r="G64" s="39">
        <f t="shared" si="3"/>
        <v>119.72768671915657</v>
      </c>
      <c r="H64" s="39">
        <f t="shared" si="4"/>
        <v>95248.650217952905</v>
      </c>
    </row>
    <row r="65" spans="1:8" x14ac:dyDescent="0.25">
      <c r="A65" s="35">
        <f t="shared" si="5"/>
        <v>40</v>
      </c>
      <c r="B65" s="36">
        <f t="shared" si="0"/>
        <v>46478</v>
      </c>
      <c r="C65" s="37">
        <f t="shared" si="1"/>
        <v>596.56768671915654</v>
      </c>
      <c r="D65" s="38"/>
      <c r="E65" s="38"/>
      <c r="F65" s="39">
        <f t="shared" si="2"/>
        <v>476.24</v>
      </c>
      <c r="G65" s="39">
        <f t="shared" si="3"/>
        <v>120.32768671915653</v>
      </c>
      <c r="H65" s="39">
        <f t="shared" si="4"/>
        <v>95128.322531233745</v>
      </c>
    </row>
    <row r="66" spans="1:8" x14ac:dyDescent="0.25">
      <c r="A66" s="35">
        <f t="shared" si="5"/>
        <v>41</v>
      </c>
      <c r="B66" s="36">
        <f t="shared" si="0"/>
        <v>46508</v>
      </c>
      <c r="C66" s="37">
        <f t="shared" si="1"/>
        <v>596.56768671915654</v>
      </c>
      <c r="D66" s="38"/>
      <c r="E66" s="38"/>
      <c r="F66" s="39">
        <f t="shared" si="2"/>
        <v>475.64</v>
      </c>
      <c r="G66" s="39">
        <f t="shared" si="3"/>
        <v>120.92768671915655</v>
      </c>
      <c r="H66" s="39">
        <f t="shared" si="4"/>
        <v>95007.394844514594</v>
      </c>
    </row>
    <row r="67" spans="1:8" x14ac:dyDescent="0.25">
      <c r="A67" s="35">
        <f t="shared" si="5"/>
        <v>42</v>
      </c>
      <c r="B67" s="36">
        <f t="shared" si="0"/>
        <v>46539</v>
      </c>
      <c r="C67" s="37">
        <f t="shared" si="1"/>
        <v>596.56768671915654</v>
      </c>
      <c r="D67" s="38"/>
      <c r="E67" s="38"/>
      <c r="F67" s="39">
        <f t="shared" si="2"/>
        <v>475.04</v>
      </c>
      <c r="G67" s="39">
        <f t="shared" si="3"/>
        <v>121.52768671915652</v>
      </c>
      <c r="H67" s="39">
        <f t="shared" si="4"/>
        <v>94885.867157795437</v>
      </c>
    </row>
    <row r="68" spans="1:8" x14ac:dyDescent="0.25">
      <c r="A68" s="35">
        <f t="shared" si="5"/>
        <v>43</v>
      </c>
      <c r="B68" s="36">
        <f t="shared" si="0"/>
        <v>46569</v>
      </c>
      <c r="C68" s="37">
        <f t="shared" si="1"/>
        <v>596.56768671915654</v>
      </c>
      <c r="D68" s="38"/>
      <c r="E68" s="38"/>
      <c r="F68" s="39">
        <f t="shared" si="2"/>
        <v>474.43</v>
      </c>
      <c r="G68" s="39">
        <f t="shared" si="3"/>
        <v>122.13768671915653</v>
      </c>
      <c r="H68" s="39">
        <f t="shared" si="4"/>
        <v>94763.72947107628</v>
      </c>
    </row>
    <row r="69" spans="1:8" x14ac:dyDescent="0.25">
      <c r="A69" s="35">
        <f t="shared" si="5"/>
        <v>44</v>
      </c>
      <c r="B69" s="36">
        <f t="shared" si="0"/>
        <v>46600</v>
      </c>
      <c r="C69" s="37">
        <f t="shared" si="1"/>
        <v>596.56768671915654</v>
      </c>
      <c r="D69" s="38"/>
      <c r="E69" s="38"/>
      <c r="F69" s="39">
        <f t="shared" si="2"/>
        <v>473.82</v>
      </c>
      <c r="G69" s="39">
        <f t="shared" si="3"/>
        <v>122.74768671915655</v>
      </c>
      <c r="H69" s="39">
        <f t="shared" si="4"/>
        <v>94640.981784357122</v>
      </c>
    </row>
    <row r="70" spans="1:8" x14ac:dyDescent="0.25">
      <c r="A70" s="35">
        <f t="shared" si="5"/>
        <v>45</v>
      </c>
      <c r="B70" s="36">
        <f t="shared" si="0"/>
        <v>46631</v>
      </c>
      <c r="C70" s="37">
        <f t="shared" si="1"/>
        <v>596.56768671915654</v>
      </c>
      <c r="D70" s="38"/>
      <c r="E70" s="38"/>
      <c r="F70" s="39">
        <f t="shared" si="2"/>
        <v>473.2</v>
      </c>
      <c r="G70" s="39">
        <f t="shared" si="3"/>
        <v>123.36768671915655</v>
      </c>
      <c r="H70" s="39">
        <f t="shared" si="4"/>
        <v>94517.614097637968</v>
      </c>
    </row>
    <row r="71" spans="1:8" x14ac:dyDescent="0.25">
      <c r="A71" s="35">
        <f t="shared" si="5"/>
        <v>46</v>
      </c>
      <c r="B71" s="36">
        <f t="shared" si="0"/>
        <v>46661</v>
      </c>
      <c r="C71" s="37">
        <f t="shared" si="1"/>
        <v>596.56768671915654</v>
      </c>
      <c r="D71" s="38"/>
      <c r="E71" s="38"/>
      <c r="F71" s="39">
        <f t="shared" si="2"/>
        <v>472.59</v>
      </c>
      <c r="G71" s="39">
        <f t="shared" si="3"/>
        <v>123.97768671915657</v>
      </c>
      <c r="H71" s="39">
        <f t="shared" si="4"/>
        <v>94393.636410918814</v>
      </c>
    </row>
    <row r="72" spans="1:8" x14ac:dyDescent="0.25">
      <c r="A72" s="35">
        <f t="shared" si="5"/>
        <v>47</v>
      </c>
      <c r="B72" s="36">
        <f t="shared" si="0"/>
        <v>46692</v>
      </c>
      <c r="C72" s="37">
        <f t="shared" si="1"/>
        <v>596.56768671915654</v>
      </c>
      <c r="D72" s="38"/>
      <c r="E72" s="38"/>
      <c r="F72" s="39">
        <f t="shared" si="2"/>
        <v>471.97</v>
      </c>
      <c r="G72" s="39">
        <f t="shared" si="3"/>
        <v>124.59768671915651</v>
      </c>
      <c r="H72" s="39">
        <f t="shared" si="4"/>
        <v>94269.038724199665</v>
      </c>
    </row>
    <row r="73" spans="1:8" x14ac:dyDescent="0.25">
      <c r="A73" s="35">
        <f t="shared" si="5"/>
        <v>48</v>
      </c>
      <c r="B73" s="36">
        <f t="shared" si="0"/>
        <v>46722</v>
      </c>
      <c r="C73" s="37">
        <f t="shared" si="1"/>
        <v>596.56768671915654</v>
      </c>
      <c r="D73" s="38"/>
      <c r="E73" s="38"/>
      <c r="F73" s="39">
        <f t="shared" si="2"/>
        <v>471.35</v>
      </c>
      <c r="G73" s="39">
        <f t="shared" si="3"/>
        <v>125.21768671915652</v>
      </c>
      <c r="H73" s="39">
        <f t="shared" si="4"/>
        <v>94143.821037480506</v>
      </c>
    </row>
    <row r="74" spans="1:8" x14ac:dyDescent="0.25">
      <c r="A74" s="35">
        <f t="shared" si="5"/>
        <v>49</v>
      </c>
      <c r="B74" s="36">
        <f t="shared" si="0"/>
        <v>46753</v>
      </c>
      <c r="C74" s="37">
        <f t="shared" si="1"/>
        <v>596.56768671915654</v>
      </c>
      <c r="D74" s="38"/>
      <c r="E74" s="38"/>
      <c r="F74" s="39">
        <f t="shared" si="2"/>
        <v>470.72</v>
      </c>
      <c r="G74" s="39">
        <f t="shared" si="3"/>
        <v>125.84768671915651</v>
      </c>
      <c r="H74" s="39">
        <f t="shared" si="4"/>
        <v>94017.973350761356</v>
      </c>
    </row>
    <row r="75" spans="1:8" x14ac:dyDescent="0.25">
      <c r="A75" s="35">
        <f t="shared" si="5"/>
        <v>50</v>
      </c>
      <c r="B75" s="36">
        <f t="shared" si="0"/>
        <v>46784</v>
      </c>
      <c r="C75" s="37">
        <f t="shared" si="1"/>
        <v>596.56768671915654</v>
      </c>
      <c r="D75" s="38"/>
      <c r="E75" s="38"/>
      <c r="F75" s="39">
        <f t="shared" si="2"/>
        <v>470.09</v>
      </c>
      <c r="G75" s="39">
        <f t="shared" si="3"/>
        <v>126.47768671915657</v>
      </c>
      <c r="H75" s="39">
        <f t="shared" si="4"/>
        <v>93891.495664042202</v>
      </c>
    </row>
    <row r="76" spans="1:8" x14ac:dyDescent="0.25">
      <c r="A76" s="35">
        <f t="shared" si="5"/>
        <v>51</v>
      </c>
      <c r="B76" s="36">
        <f t="shared" si="0"/>
        <v>46813</v>
      </c>
      <c r="C76" s="37">
        <f t="shared" si="1"/>
        <v>596.56768671915654</v>
      </c>
      <c r="D76" s="38"/>
      <c r="E76" s="38"/>
      <c r="F76" s="39">
        <f t="shared" si="2"/>
        <v>469.46</v>
      </c>
      <c r="G76" s="39">
        <f t="shared" si="3"/>
        <v>127.10768671915656</v>
      </c>
      <c r="H76" s="39">
        <f t="shared" si="4"/>
        <v>93764.387977323044</v>
      </c>
    </row>
    <row r="77" spans="1:8" x14ac:dyDescent="0.25">
      <c r="A77" s="35">
        <f t="shared" si="5"/>
        <v>52</v>
      </c>
      <c r="B77" s="36">
        <f t="shared" si="0"/>
        <v>46844</v>
      </c>
      <c r="C77" s="37">
        <f t="shared" si="1"/>
        <v>596.56768671915654</v>
      </c>
      <c r="D77" s="38"/>
      <c r="E77" s="38"/>
      <c r="F77" s="39">
        <f t="shared" si="2"/>
        <v>468.82</v>
      </c>
      <c r="G77" s="39">
        <f t="shared" si="3"/>
        <v>127.74768671915655</v>
      </c>
      <c r="H77" s="39">
        <f t="shared" si="4"/>
        <v>93636.640290603886</v>
      </c>
    </row>
    <row r="78" spans="1:8" x14ac:dyDescent="0.25">
      <c r="A78" s="35">
        <f t="shared" si="5"/>
        <v>53</v>
      </c>
      <c r="B78" s="36">
        <f t="shared" si="0"/>
        <v>46874</v>
      </c>
      <c r="C78" s="37">
        <f t="shared" si="1"/>
        <v>596.56768671915654</v>
      </c>
      <c r="D78" s="38"/>
      <c r="E78" s="38"/>
      <c r="F78" s="39">
        <f t="shared" si="2"/>
        <v>468.18</v>
      </c>
      <c r="G78" s="39">
        <f t="shared" si="3"/>
        <v>128.38768671915653</v>
      </c>
      <c r="H78" s="39">
        <f t="shared" si="4"/>
        <v>93508.252603884728</v>
      </c>
    </row>
    <row r="79" spans="1:8" x14ac:dyDescent="0.25">
      <c r="A79" s="35">
        <f t="shared" si="5"/>
        <v>54</v>
      </c>
      <c r="B79" s="36">
        <f t="shared" si="0"/>
        <v>46905</v>
      </c>
      <c r="C79" s="37">
        <f t="shared" si="1"/>
        <v>596.56768671915654</v>
      </c>
      <c r="D79" s="38"/>
      <c r="E79" s="38"/>
      <c r="F79" s="39">
        <f t="shared" si="2"/>
        <v>467.54</v>
      </c>
      <c r="G79" s="39">
        <f t="shared" si="3"/>
        <v>129.02768671915652</v>
      </c>
      <c r="H79" s="39">
        <f t="shared" si="4"/>
        <v>93379.224917165571</v>
      </c>
    </row>
    <row r="80" spans="1:8" x14ac:dyDescent="0.25">
      <c r="A80" s="35">
        <f t="shared" si="5"/>
        <v>55</v>
      </c>
      <c r="B80" s="36">
        <f t="shared" si="0"/>
        <v>46935</v>
      </c>
      <c r="C80" s="37">
        <f t="shared" si="1"/>
        <v>596.56768671915654</v>
      </c>
      <c r="D80" s="38"/>
      <c r="E80" s="38"/>
      <c r="F80" s="39">
        <f t="shared" si="2"/>
        <v>466.9</v>
      </c>
      <c r="G80" s="39">
        <f t="shared" si="3"/>
        <v>129.66768671915656</v>
      </c>
      <c r="H80" s="39">
        <f t="shared" si="4"/>
        <v>93249.557230446415</v>
      </c>
    </row>
    <row r="81" spans="1:8" x14ac:dyDescent="0.25">
      <c r="A81" s="35">
        <f t="shared" si="5"/>
        <v>56</v>
      </c>
      <c r="B81" s="36">
        <f t="shared" si="0"/>
        <v>46966</v>
      </c>
      <c r="C81" s="37">
        <f t="shared" si="1"/>
        <v>596.56768671915654</v>
      </c>
      <c r="D81" s="38"/>
      <c r="E81" s="38"/>
      <c r="F81" s="39">
        <f t="shared" si="2"/>
        <v>466.25</v>
      </c>
      <c r="G81" s="39">
        <f t="shared" si="3"/>
        <v>130.31768671915654</v>
      </c>
      <c r="H81" s="39">
        <f t="shared" si="4"/>
        <v>93119.239543727264</v>
      </c>
    </row>
    <row r="82" spans="1:8" x14ac:dyDescent="0.25">
      <c r="A82" s="35">
        <f t="shared" si="5"/>
        <v>57</v>
      </c>
      <c r="B82" s="36">
        <f t="shared" si="0"/>
        <v>46997</v>
      </c>
      <c r="C82" s="37">
        <f t="shared" si="1"/>
        <v>596.56768671915654</v>
      </c>
      <c r="D82" s="38"/>
      <c r="E82" s="38"/>
      <c r="F82" s="39">
        <f t="shared" si="2"/>
        <v>465.6</v>
      </c>
      <c r="G82" s="39">
        <f t="shared" si="3"/>
        <v>130.96768671915652</v>
      </c>
      <c r="H82" s="39">
        <f t="shared" si="4"/>
        <v>92988.271857008105</v>
      </c>
    </row>
    <row r="83" spans="1:8" x14ac:dyDescent="0.25">
      <c r="A83" s="35">
        <f t="shared" si="5"/>
        <v>58</v>
      </c>
      <c r="B83" s="36">
        <f t="shared" si="0"/>
        <v>47027</v>
      </c>
      <c r="C83" s="37">
        <f t="shared" si="1"/>
        <v>596.56768671915654</v>
      </c>
      <c r="D83" s="38"/>
      <c r="E83" s="38"/>
      <c r="F83" s="39">
        <f t="shared" si="2"/>
        <v>464.94</v>
      </c>
      <c r="G83" s="39">
        <f t="shared" si="3"/>
        <v>131.62768671915654</v>
      </c>
      <c r="H83" s="39">
        <f t="shared" si="4"/>
        <v>92856.644170288942</v>
      </c>
    </row>
    <row r="84" spans="1:8" x14ac:dyDescent="0.25">
      <c r="A84" s="35">
        <f t="shared" si="5"/>
        <v>59</v>
      </c>
      <c r="B84" s="36">
        <f t="shared" si="0"/>
        <v>47058</v>
      </c>
      <c r="C84" s="37">
        <f t="shared" si="1"/>
        <v>596.56768671915654</v>
      </c>
      <c r="D84" s="38"/>
      <c r="E84" s="38"/>
      <c r="F84" s="39">
        <f t="shared" si="2"/>
        <v>464.28</v>
      </c>
      <c r="G84" s="39">
        <f t="shared" si="3"/>
        <v>132.28768671915657</v>
      </c>
      <c r="H84" s="39">
        <f t="shared" si="4"/>
        <v>92724.356483569791</v>
      </c>
    </row>
    <row r="85" spans="1:8" x14ac:dyDescent="0.25">
      <c r="A85" s="35">
        <f t="shared" si="5"/>
        <v>60</v>
      </c>
      <c r="B85" s="36">
        <f t="shared" si="0"/>
        <v>47088</v>
      </c>
      <c r="C85" s="37">
        <f t="shared" si="1"/>
        <v>596.56768671915654</v>
      </c>
      <c r="D85" s="38"/>
      <c r="E85" s="38"/>
      <c r="F85" s="39">
        <f t="shared" si="2"/>
        <v>463.62</v>
      </c>
      <c r="G85" s="39">
        <f t="shared" si="3"/>
        <v>132.94768671915654</v>
      </c>
      <c r="H85" s="39">
        <f t="shared" si="4"/>
        <v>92591.408796850636</v>
      </c>
    </row>
    <row r="86" spans="1:8" x14ac:dyDescent="0.25">
      <c r="A86" s="35">
        <f t="shared" si="5"/>
        <v>61</v>
      </c>
      <c r="B86" s="36">
        <f t="shared" si="0"/>
        <v>47119</v>
      </c>
      <c r="C86" s="37">
        <f t="shared" si="1"/>
        <v>596.56768671915654</v>
      </c>
      <c r="D86" s="38"/>
      <c r="E86" s="38"/>
      <c r="F86" s="39">
        <f t="shared" si="2"/>
        <v>462.96</v>
      </c>
      <c r="G86" s="39">
        <f t="shared" si="3"/>
        <v>133.60768671915656</v>
      </c>
      <c r="H86" s="39">
        <f t="shared" si="4"/>
        <v>92457.801110131477</v>
      </c>
    </row>
    <row r="87" spans="1:8" x14ac:dyDescent="0.25">
      <c r="A87" s="35">
        <f t="shared" si="5"/>
        <v>62</v>
      </c>
      <c r="B87" s="36">
        <f t="shared" si="0"/>
        <v>47150</v>
      </c>
      <c r="C87" s="37">
        <f t="shared" si="1"/>
        <v>596.56768671915654</v>
      </c>
      <c r="D87" s="38"/>
      <c r="E87" s="38"/>
      <c r="F87" s="39">
        <f t="shared" si="2"/>
        <v>462.29</v>
      </c>
      <c r="G87" s="39">
        <f t="shared" si="3"/>
        <v>134.27768671915652</v>
      </c>
      <c r="H87" s="39">
        <f t="shared" si="4"/>
        <v>92323.52342341232</v>
      </c>
    </row>
    <row r="88" spans="1:8" x14ac:dyDescent="0.25">
      <c r="A88" s="35">
        <f t="shared" si="5"/>
        <v>63</v>
      </c>
      <c r="B88" s="36">
        <f t="shared" si="0"/>
        <v>47178</v>
      </c>
      <c r="C88" s="37">
        <f t="shared" si="1"/>
        <v>596.56768671915654</v>
      </c>
      <c r="D88" s="38"/>
      <c r="E88" s="38"/>
      <c r="F88" s="39">
        <f t="shared" si="2"/>
        <v>461.62</v>
      </c>
      <c r="G88" s="39">
        <f t="shared" si="3"/>
        <v>134.94768671915654</v>
      </c>
      <c r="H88" s="39">
        <f t="shared" si="4"/>
        <v>92188.575736693165</v>
      </c>
    </row>
    <row r="89" spans="1:8" x14ac:dyDescent="0.25">
      <c r="A89" s="35">
        <f t="shared" si="5"/>
        <v>64</v>
      </c>
      <c r="B89" s="36">
        <f t="shared" si="0"/>
        <v>47209</v>
      </c>
      <c r="C89" s="37">
        <f t="shared" si="1"/>
        <v>596.56768671915654</v>
      </c>
      <c r="D89" s="38"/>
      <c r="E89" s="38"/>
      <c r="F89" s="39">
        <f t="shared" si="2"/>
        <v>460.94</v>
      </c>
      <c r="G89" s="39">
        <f t="shared" si="3"/>
        <v>135.62768671915654</v>
      </c>
      <c r="H89" s="39">
        <f t="shared" si="4"/>
        <v>92052.948049974002</v>
      </c>
    </row>
    <row r="90" spans="1:8" x14ac:dyDescent="0.25">
      <c r="A90" s="35">
        <f t="shared" ref="A90:A153" si="6">IF(H89="","",IF(roundOpt,IF(OR(A89&gt;=nPer,ROUND(H89,2)&lt;=0),"",A89+1),IF(OR(A89&gt;=nPer,H89&lt;=0),"",A89+1)))</f>
        <v>65</v>
      </c>
      <c r="B90" s="36">
        <f t="shared" ref="B90:B153" si="7">IF(A90="","",IF(OR(periods_per_year=26,periods_per_year=52),IF(periods_per_year=26,IF(A90=1,beginDate,B89+14),IF(periods_per_year=52,IF(A90=1,beginDate,B89+7),"n/a")),IF(periods_per_year=24,DATE(YEAR(beginDate),MONTH(beginDate)+(A90-1)/2+IF(AND(DAY(beginDate)&gt;=15,MOD(A90,2)=0),1,0),IF(MOD(A90,2)=0,IF(DAY(beginDate)&gt;=15,DAY(beginDate)-14,DAY(beginDate)+14),DAY(beginDate))),IF(DAY(DATE(YEAR(beginDate),MONTH(beginDate)+(A90-1)*monthsPerPeriod,DAY(beginDate)))&lt;&gt;DAY(beginDate),DATE(YEAR(beginDate),MONTH(beginDate)+(A90-1)*monthsPerPeriod+1,0),DATE(YEAR(beginDate),MONTH(beginDate)+(A90-1)*monthsPerPeriod,DAY(beginDate))))))</f>
        <v>47239</v>
      </c>
      <c r="C90" s="37">
        <f t="shared" ref="C90:C153" si="8">IF(A90="","",IF(roundOpt,IF(OR(A90=nPer,payment&gt;ROUND((1+rate)*H89,2)),ROUND((1+rate)*H89,2),payment),IF(OR(A90=nPer,payment&gt;(1+rate)*H89),(1+rate)*H89,payment)))</f>
        <v>596.56768671915654</v>
      </c>
      <c r="D90" s="38"/>
      <c r="E90" s="38"/>
      <c r="F90" s="39">
        <f t="shared" ref="F90:F153" si="9">IF(A90="","",IF(AND(A90=1,pmtType=1),0,IF(roundOpt,ROUND(rate*H89,2),rate*H89)))</f>
        <v>460.26</v>
      </c>
      <c r="G90" s="39">
        <f t="shared" ref="G90:G153" si="10">IF(A90="","",C90-F90+D90)</f>
        <v>136.30768671915655</v>
      </c>
      <c r="H90" s="39">
        <f t="shared" ref="H90:H153" si="11">IF(A90="","",H89-G90)</f>
        <v>91916.640363254846</v>
      </c>
    </row>
    <row r="91" spans="1:8" x14ac:dyDescent="0.25">
      <c r="A91" s="35">
        <f t="shared" si="6"/>
        <v>66</v>
      </c>
      <c r="B91" s="36">
        <f t="shared" si="7"/>
        <v>47270</v>
      </c>
      <c r="C91" s="37">
        <f t="shared" si="8"/>
        <v>596.56768671915654</v>
      </c>
      <c r="D91" s="38"/>
      <c r="E91" s="38"/>
      <c r="F91" s="39">
        <f t="shared" si="9"/>
        <v>459.58</v>
      </c>
      <c r="G91" s="39">
        <f t="shared" si="10"/>
        <v>136.98768671915656</v>
      </c>
      <c r="H91" s="39">
        <f t="shared" si="11"/>
        <v>91779.652676535683</v>
      </c>
    </row>
    <row r="92" spans="1:8" x14ac:dyDescent="0.25">
      <c r="A92" s="35">
        <f t="shared" si="6"/>
        <v>67</v>
      </c>
      <c r="B92" s="36">
        <f t="shared" si="7"/>
        <v>47300</v>
      </c>
      <c r="C92" s="37">
        <f t="shared" si="8"/>
        <v>596.56768671915654</v>
      </c>
      <c r="D92" s="38"/>
      <c r="E92" s="38"/>
      <c r="F92" s="39">
        <f t="shared" si="9"/>
        <v>458.9</v>
      </c>
      <c r="G92" s="39">
        <f t="shared" si="10"/>
        <v>137.66768671915656</v>
      </c>
      <c r="H92" s="39">
        <f t="shared" si="11"/>
        <v>91641.984989816527</v>
      </c>
    </row>
    <row r="93" spans="1:8" x14ac:dyDescent="0.25">
      <c r="A93" s="35">
        <f t="shared" si="6"/>
        <v>68</v>
      </c>
      <c r="B93" s="36">
        <f t="shared" si="7"/>
        <v>47331</v>
      </c>
      <c r="C93" s="37">
        <f t="shared" si="8"/>
        <v>596.56768671915654</v>
      </c>
      <c r="D93" s="38"/>
      <c r="E93" s="38"/>
      <c r="F93" s="39">
        <f t="shared" si="9"/>
        <v>458.21</v>
      </c>
      <c r="G93" s="39">
        <f t="shared" si="10"/>
        <v>138.35768671915656</v>
      </c>
      <c r="H93" s="39">
        <f t="shared" si="11"/>
        <v>91503.627303097368</v>
      </c>
    </row>
    <row r="94" spans="1:8" x14ac:dyDescent="0.25">
      <c r="A94" s="35">
        <f t="shared" si="6"/>
        <v>69</v>
      </c>
      <c r="B94" s="36">
        <f t="shared" si="7"/>
        <v>47362</v>
      </c>
      <c r="C94" s="37">
        <f t="shared" si="8"/>
        <v>596.56768671915654</v>
      </c>
      <c r="D94" s="38"/>
      <c r="E94" s="38"/>
      <c r="F94" s="39">
        <f t="shared" si="9"/>
        <v>457.52</v>
      </c>
      <c r="G94" s="39">
        <f t="shared" si="10"/>
        <v>139.04768671915656</v>
      </c>
      <c r="H94" s="39">
        <f t="shared" si="11"/>
        <v>91364.579616378207</v>
      </c>
    </row>
    <row r="95" spans="1:8" x14ac:dyDescent="0.25">
      <c r="A95" s="35">
        <f t="shared" si="6"/>
        <v>70</v>
      </c>
      <c r="B95" s="36">
        <f t="shared" si="7"/>
        <v>47392</v>
      </c>
      <c r="C95" s="37">
        <f t="shared" si="8"/>
        <v>596.56768671915654</v>
      </c>
      <c r="D95" s="38"/>
      <c r="E95" s="38"/>
      <c r="F95" s="39">
        <f t="shared" si="9"/>
        <v>456.82</v>
      </c>
      <c r="G95" s="39">
        <f t="shared" si="10"/>
        <v>139.74768671915655</v>
      </c>
      <c r="H95" s="39">
        <f t="shared" si="11"/>
        <v>91224.831929659049</v>
      </c>
    </row>
    <row r="96" spans="1:8" x14ac:dyDescent="0.25">
      <c r="A96" s="35">
        <f t="shared" si="6"/>
        <v>71</v>
      </c>
      <c r="B96" s="36">
        <f t="shared" si="7"/>
        <v>47423</v>
      </c>
      <c r="C96" s="37">
        <f t="shared" si="8"/>
        <v>596.56768671915654</v>
      </c>
      <c r="D96" s="38"/>
      <c r="E96" s="38"/>
      <c r="F96" s="39">
        <f t="shared" si="9"/>
        <v>456.12</v>
      </c>
      <c r="G96" s="39">
        <f t="shared" si="10"/>
        <v>140.44768671915654</v>
      </c>
      <c r="H96" s="39">
        <f t="shared" si="11"/>
        <v>91084.384242939894</v>
      </c>
    </row>
    <row r="97" spans="1:8" x14ac:dyDescent="0.25">
      <c r="A97" s="35">
        <f t="shared" si="6"/>
        <v>72</v>
      </c>
      <c r="B97" s="36">
        <f t="shared" si="7"/>
        <v>47453</v>
      </c>
      <c r="C97" s="37">
        <f t="shared" si="8"/>
        <v>596.56768671915654</v>
      </c>
      <c r="D97" s="38"/>
      <c r="E97" s="38"/>
      <c r="F97" s="39">
        <f t="shared" si="9"/>
        <v>455.42</v>
      </c>
      <c r="G97" s="39">
        <f t="shared" si="10"/>
        <v>141.14768671915652</v>
      </c>
      <c r="H97" s="39">
        <f t="shared" si="11"/>
        <v>90943.236556220741</v>
      </c>
    </row>
    <row r="98" spans="1:8" x14ac:dyDescent="0.25">
      <c r="A98" s="35">
        <f t="shared" si="6"/>
        <v>73</v>
      </c>
      <c r="B98" s="36">
        <f t="shared" si="7"/>
        <v>47484</v>
      </c>
      <c r="C98" s="37">
        <f t="shared" si="8"/>
        <v>596.56768671915654</v>
      </c>
      <c r="D98" s="38"/>
      <c r="E98" s="38"/>
      <c r="F98" s="39">
        <f t="shared" si="9"/>
        <v>454.72</v>
      </c>
      <c r="G98" s="39">
        <f t="shared" si="10"/>
        <v>141.84768671915651</v>
      </c>
      <c r="H98" s="39">
        <f t="shared" si="11"/>
        <v>90801.388869501592</v>
      </c>
    </row>
    <row r="99" spans="1:8" x14ac:dyDescent="0.25">
      <c r="A99" s="35">
        <f t="shared" si="6"/>
        <v>74</v>
      </c>
      <c r="B99" s="36">
        <f t="shared" si="7"/>
        <v>47515</v>
      </c>
      <c r="C99" s="37">
        <f t="shared" si="8"/>
        <v>596.56768671915654</v>
      </c>
      <c r="D99" s="38"/>
      <c r="E99" s="38"/>
      <c r="F99" s="39">
        <f t="shared" si="9"/>
        <v>454.01</v>
      </c>
      <c r="G99" s="39">
        <f t="shared" si="10"/>
        <v>142.55768671915655</v>
      </c>
      <c r="H99" s="39">
        <f t="shared" si="11"/>
        <v>90658.831182782436</v>
      </c>
    </row>
    <row r="100" spans="1:8" x14ac:dyDescent="0.25">
      <c r="A100" s="35">
        <f t="shared" si="6"/>
        <v>75</v>
      </c>
      <c r="B100" s="36">
        <f t="shared" si="7"/>
        <v>47543</v>
      </c>
      <c r="C100" s="37">
        <f t="shared" si="8"/>
        <v>596.56768671915654</v>
      </c>
      <c r="D100" s="38"/>
      <c r="E100" s="38"/>
      <c r="F100" s="39">
        <f t="shared" si="9"/>
        <v>453.29</v>
      </c>
      <c r="G100" s="39">
        <f t="shared" si="10"/>
        <v>143.27768671915652</v>
      </c>
      <c r="H100" s="39">
        <f t="shared" si="11"/>
        <v>90515.553496063279</v>
      </c>
    </row>
    <row r="101" spans="1:8" x14ac:dyDescent="0.25">
      <c r="A101" s="35">
        <f t="shared" si="6"/>
        <v>76</v>
      </c>
      <c r="B101" s="36">
        <f t="shared" si="7"/>
        <v>47574</v>
      </c>
      <c r="C101" s="37">
        <f t="shared" si="8"/>
        <v>596.56768671915654</v>
      </c>
      <c r="D101" s="38"/>
      <c r="E101" s="38"/>
      <c r="F101" s="39">
        <f t="shared" si="9"/>
        <v>452.58</v>
      </c>
      <c r="G101" s="39">
        <f t="shared" si="10"/>
        <v>143.98768671915656</v>
      </c>
      <c r="H101" s="39">
        <f t="shared" si="11"/>
        <v>90371.565809344116</v>
      </c>
    </row>
    <row r="102" spans="1:8" x14ac:dyDescent="0.25">
      <c r="A102" s="35">
        <f t="shared" si="6"/>
        <v>77</v>
      </c>
      <c r="B102" s="36">
        <f t="shared" si="7"/>
        <v>47604</v>
      </c>
      <c r="C102" s="37">
        <f t="shared" si="8"/>
        <v>596.56768671915654</v>
      </c>
      <c r="D102" s="38"/>
      <c r="E102" s="38"/>
      <c r="F102" s="39">
        <f t="shared" si="9"/>
        <v>451.86</v>
      </c>
      <c r="G102" s="39">
        <f t="shared" si="10"/>
        <v>144.70768671915653</v>
      </c>
      <c r="H102" s="39">
        <f t="shared" si="11"/>
        <v>90226.858122624966</v>
      </c>
    </row>
    <row r="103" spans="1:8" x14ac:dyDescent="0.25">
      <c r="A103" s="35">
        <f t="shared" si="6"/>
        <v>78</v>
      </c>
      <c r="B103" s="36">
        <f t="shared" si="7"/>
        <v>47635</v>
      </c>
      <c r="C103" s="37">
        <f t="shared" si="8"/>
        <v>596.56768671915654</v>
      </c>
      <c r="D103" s="38"/>
      <c r="E103" s="38"/>
      <c r="F103" s="39">
        <f t="shared" si="9"/>
        <v>451.13</v>
      </c>
      <c r="G103" s="39">
        <f t="shared" si="10"/>
        <v>145.43768671915655</v>
      </c>
      <c r="H103" s="39">
        <f t="shared" si="11"/>
        <v>90081.420435905806</v>
      </c>
    </row>
    <row r="104" spans="1:8" x14ac:dyDescent="0.25">
      <c r="A104" s="35">
        <f t="shared" si="6"/>
        <v>79</v>
      </c>
      <c r="B104" s="36">
        <f t="shared" si="7"/>
        <v>47665</v>
      </c>
      <c r="C104" s="37">
        <f t="shared" si="8"/>
        <v>596.56768671915654</v>
      </c>
      <c r="D104" s="38"/>
      <c r="E104" s="38"/>
      <c r="F104" s="39">
        <f t="shared" si="9"/>
        <v>450.41</v>
      </c>
      <c r="G104" s="39">
        <f t="shared" si="10"/>
        <v>146.15768671915652</v>
      </c>
      <c r="H104" s="39">
        <f t="shared" si="11"/>
        <v>89935.262749186644</v>
      </c>
    </row>
    <row r="105" spans="1:8" x14ac:dyDescent="0.25">
      <c r="A105" s="35">
        <f t="shared" si="6"/>
        <v>80</v>
      </c>
      <c r="B105" s="36">
        <f t="shared" si="7"/>
        <v>47696</v>
      </c>
      <c r="C105" s="37">
        <f t="shared" si="8"/>
        <v>596.56768671915654</v>
      </c>
      <c r="D105" s="38"/>
      <c r="E105" s="38"/>
      <c r="F105" s="39">
        <f t="shared" si="9"/>
        <v>449.68</v>
      </c>
      <c r="G105" s="39">
        <f t="shared" si="10"/>
        <v>146.88768671915653</v>
      </c>
      <c r="H105" s="39">
        <f t="shared" si="11"/>
        <v>89788.375062467487</v>
      </c>
    </row>
    <row r="106" spans="1:8" x14ac:dyDescent="0.25">
      <c r="A106" s="35">
        <f t="shared" si="6"/>
        <v>81</v>
      </c>
      <c r="B106" s="36">
        <f t="shared" si="7"/>
        <v>47727</v>
      </c>
      <c r="C106" s="37">
        <f t="shared" si="8"/>
        <v>596.56768671915654</v>
      </c>
      <c r="D106" s="38"/>
      <c r="E106" s="38"/>
      <c r="F106" s="39">
        <f t="shared" si="9"/>
        <v>448.94</v>
      </c>
      <c r="G106" s="39">
        <f t="shared" si="10"/>
        <v>147.62768671915654</v>
      </c>
      <c r="H106" s="39">
        <f t="shared" si="11"/>
        <v>89640.747375748324</v>
      </c>
    </row>
    <row r="107" spans="1:8" x14ac:dyDescent="0.25">
      <c r="A107" s="35">
        <f t="shared" si="6"/>
        <v>82</v>
      </c>
      <c r="B107" s="36">
        <f t="shared" si="7"/>
        <v>47757</v>
      </c>
      <c r="C107" s="37">
        <f t="shared" si="8"/>
        <v>596.56768671915654</v>
      </c>
      <c r="D107" s="38"/>
      <c r="E107" s="38"/>
      <c r="F107" s="39">
        <f t="shared" si="9"/>
        <v>448.2</v>
      </c>
      <c r="G107" s="39">
        <f t="shared" si="10"/>
        <v>148.36768671915655</v>
      </c>
      <c r="H107" s="39">
        <f t="shared" si="11"/>
        <v>89492.379689029171</v>
      </c>
    </row>
    <row r="108" spans="1:8" x14ac:dyDescent="0.25">
      <c r="A108" s="35">
        <f t="shared" si="6"/>
        <v>83</v>
      </c>
      <c r="B108" s="36">
        <f t="shared" si="7"/>
        <v>47788</v>
      </c>
      <c r="C108" s="37">
        <f t="shared" si="8"/>
        <v>596.56768671915654</v>
      </c>
      <c r="D108" s="38"/>
      <c r="E108" s="38"/>
      <c r="F108" s="39">
        <f t="shared" si="9"/>
        <v>447.46</v>
      </c>
      <c r="G108" s="39">
        <f t="shared" si="10"/>
        <v>149.10768671915656</v>
      </c>
      <c r="H108" s="39">
        <f t="shared" si="11"/>
        <v>89343.272002310012</v>
      </c>
    </row>
    <row r="109" spans="1:8" x14ac:dyDescent="0.25">
      <c r="A109" s="35">
        <f t="shared" si="6"/>
        <v>84</v>
      </c>
      <c r="B109" s="36">
        <f t="shared" si="7"/>
        <v>47818</v>
      </c>
      <c r="C109" s="37">
        <f t="shared" si="8"/>
        <v>596.56768671915654</v>
      </c>
      <c r="D109" s="38"/>
      <c r="E109" s="38"/>
      <c r="F109" s="39">
        <f t="shared" si="9"/>
        <v>446.72</v>
      </c>
      <c r="G109" s="39">
        <f t="shared" si="10"/>
        <v>149.84768671915651</v>
      </c>
      <c r="H109" s="39">
        <f t="shared" si="11"/>
        <v>89193.424315590863</v>
      </c>
    </row>
    <row r="110" spans="1:8" x14ac:dyDescent="0.25">
      <c r="A110" s="35">
        <f t="shared" si="6"/>
        <v>85</v>
      </c>
      <c r="B110" s="36">
        <f t="shared" si="7"/>
        <v>47849</v>
      </c>
      <c r="C110" s="37">
        <f t="shared" si="8"/>
        <v>596.56768671915654</v>
      </c>
      <c r="D110" s="38"/>
      <c r="E110" s="38"/>
      <c r="F110" s="39">
        <f t="shared" si="9"/>
        <v>445.97</v>
      </c>
      <c r="G110" s="39">
        <f t="shared" si="10"/>
        <v>150.59768671915651</v>
      </c>
      <c r="H110" s="39">
        <f t="shared" si="11"/>
        <v>89042.826628871713</v>
      </c>
    </row>
    <row r="111" spans="1:8" x14ac:dyDescent="0.25">
      <c r="A111" s="35">
        <f t="shared" si="6"/>
        <v>86</v>
      </c>
      <c r="B111" s="36">
        <f t="shared" si="7"/>
        <v>47880</v>
      </c>
      <c r="C111" s="37">
        <f t="shared" si="8"/>
        <v>596.56768671915654</v>
      </c>
      <c r="D111" s="38"/>
      <c r="E111" s="38"/>
      <c r="F111" s="39">
        <f t="shared" si="9"/>
        <v>445.21</v>
      </c>
      <c r="G111" s="39">
        <f t="shared" si="10"/>
        <v>151.35768671915656</v>
      </c>
      <c r="H111" s="39">
        <f t="shared" si="11"/>
        <v>88891.468942152555</v>
      </c>
    </row>
    <row r="112" spans="1:8" x14ac:dyDescent="0.25">
      <c r="A112" s="35">
        <f t="shared" si="6"/>
        <v>87</v>
      </c>
      <c r="B112" s="36">
        <f t="shared" si="7"/>
        <v>47908</v>
      </c>
      <c r="C112" s="37">
        <f t="shared" si="8"/>
        <v>596.56768671915654</v>
      </c>
      <c r="D112" s="38"/>
      <c r="E112" s="38"/>
      <c r="F112" s="39">
        <f t="shared" si="9"/>
        <v>444.46</v>
      </c>
      <c r="G112" s="39">
        <f t="shared" si="10"/>
        <v>152.10768671915656</v>
      </c>
      <c r="H112" s="39">
        <f t="shared" si="11"/>
        <v>88739.361255433396</v>
      </c>
    </row>
    <row r="113" spans="1:8" x14ac:dyDescent="0.25">
      <c r="A113" s="35">
        <f t="shared" si="6"/>
        <v>88</v>
      </c>
      <c r="B113" s="36">
        <f t="shared" si="7"/>
        <v>47939</v>
      </c>
      <c r="C113" s="37">
        <f t="shared" si="8"/>
        <v>596.56768671915654</v>
      </c>
      <c r="D113" s="38"/>
      <c r="E113" s="38"/>
      <c r="F113" s="39">
        <f t="shared" si="9"/>
        <v>443.7</v>
      </c>
      <c r="G113" s="39">
        <f t="shared" si="10"/>
        <v>152.86768671915655</v>
      </c>
      <c r="H113" s="39">
        <f t="shared" si="11"/>
        <v>88586.493568714242</v>
      </c>
    </row>
    <row r="114" spans="1:8" x14ac:dyDescent="0.25">
      <c r="A114" s="35">
        <f t="shared" si="6"/>
        <v>89</v>
      </c>
      <c r="B114" s="36">
        <f t="shared" si="7"/>
        <v>47969</v>
      </c>
      <c r="C114" s="37">
        <f t="shared" si="8"/>
        <v>596.56768671915654</v>
      </c>
      <c r="D114" s="38"/>
      <c r="E114" s="38"/>
      <c r="F114" s="39">
        <f t="shared" si="9"/>
        <v>442.93</v>
      </c>
      <c r="G114" s="39">
        <f t="shared" si="10"/>
        <v>153.63768671915653</v>
      </c>
      <c r="H114" s="39">
        <f t="shared" si="11"/>
        <v>88432.855881995085</v>
      </c>
    </row>
    <row r="115" spans="1:8" x14ac:dyDescent="0.25">
      <c r="A115" s="35">
        <f t="shared" si="6"/>
        <v>90</v>
      </c>
      <c r="B115" s="36">
        <f t="shared" si="7"/>
        <v>48000</v>
      </c>
      <c r="C115" s="37">
        <f t="shared" si="8"/>
        <v>596.56768671915654</v>
      </c>
      <c r="D115" s="38"/>
      <c r="E115" s="38"/>
      <c r="F115" s="39">
        <f t="shared" si="9"/>
        <v>442.16</v>
      </c>
      <c r="G115" s="39">
        <f t="shared" si="10"/>
        <v>154.40768671915652</v>
      </c>
      <c r="H115" s="39">
        <f t="shared" si="11"/>
        <v>88278.448195275923</v>
      </c>
    </row>
    <row r="116" spans="1:8" x14ac:dyDescent="0.25">
      <c r="A116" s="35">
        <f t="shared" si="6"/>
        <v>91</v>
      </c>
      <c r="B116" s="36">
        <f t="shared" si="7"/>
        <v>48030</v>
      </c>
      <c r="C116" s="37">
        <f t="shared" si="8"/>
        <v>596.56768671915654</v>
      </c>
      <c r="D116" s="38"/>
      <c r="E116" s="38"/>
      <c r="F116" s="39">
        <f t="shared" si="9"/>
        <v>441.39</v>
      </c>
      <c r="G116" s="39">
        <f t="shared" si="10"/>
        <v>155.17768671915655</v>
      </c>
      <c r="H116" s="39">
        <f t="shared" si="11"/>
        <v>88123.270508556772</v>
      </c>
    </row>
    <row r="117" spans="1:8" x14ac:dyDescent="0.25">
      <c r="A117" s="35">
        <f t="shared" si="6"/>
        <v>92</v>
      </c>
      <c r="B117" s="36">
        <f t="shared" si="7"/>
        <v>48061</v>
      </c>
      <c r="C117" s="37">
        <f t="shared" si="8"/>
        <v>596.56768671915654</v>
      </c>
      <c r="D117" s="38"/>
      <c r="E117" s="38"/>
      <c r="F117" s="39">
        <f t="shared" si="9"/>
        <v>440.62</v>
      </c>
      <c r="G117" s="39">
        <f t="shared" si="10"/>
        <v>155.94768671915654</v>
      </c>
      <c r="H117" s="39">
        <f t="shared" si="11"/>
        <v>87967.322821837617</v>
      </c>
    </row>
    <row r="118" spans="1:8" x14ac:dyDescent="0.25">
      <c r="A118" s="35">
        <f t="shared" si="6"/>
        <v>93</v>
      </c>
      <c r="B118" s="36">
        <f t="shared" si="7"/>
        <v>48092</v>
      </c>
      <c r="C118" s="37">
        <f t="shared" si="8"/>
        <v>596.56768671915654</v>
      </c>
      <c r="D118" s="38"/>
      <c r="E118" s="38"/>
      <c r="F118" s="39">
        <f t="shared" si="9"/>
        <v>439.84</v>
      </c>
      <c r="G118" s="39">
        <f t="shared" si="10"/>
        <v>156.72768671915657</v>
      </c>
      <c r="H118" s="39">
        <f t="shared" si="11"/>
        <v>87810.595135118463</v>
      </c>
    </row>
    <row r="119" spans="1:8" x14ac:dyDescent="0.25">
      <c r="A119" s="35">
        <f t="shared" si="6"/>
        <v>94</v>
      </c>
      <c r="B119" s="36">
        <f t="shared" si="7"/>
        <v>48122</v>
      </c>
      <c r="C119" s="37">
        <f t="shared" si="8"/>
        <v>596.56768671915654</v>
      </c>
      <c r="D119" s="38"/>
      <c r="E119" s="38"/>
      <c r="F119" s="39">
        <f t="shared" si="9"/>
        <v>439.05</v>
      </c>
      <c r="G119" s="39">
        <f t="shared" si="10"/>
        <v>157.51768671915653</v>
      </c>
      <c r="H119" s="39">
        <f t="shared" si="11"/>
        <v>87653.077448399301</v>
      </c>
    </row>
    <row r="120" spans="1:8" x14ac:dyDescent="0.25">
      <c r="A120" s="35">
        <f t="shared" si="6"/>
        <v>95</v>
      </c>
      <c r="B120" s="36">
        <f t="shared" si="7"/>
        <v>48153</v>
      </c>
      <c r="C120" s="37">
        <f t="shared" si="8"/>
        <v>596.56768671915654</v>
      </c>
      <c r="D120" s="38"/>
      <c r="E120" s="38"/>
      <c r="F120" s="39">
        <f t="shared" si="9"/>
        <v>438.27</v>
      </c>
      <c r="G120" s="39">
        <f t="shared" si="10"/>
        <v>158.29768671915656</v>
      </c>
      <c r="H120" s="39">
        <f t="shared" si="11"/>
        <v>87494.77976168014</v>
      </c>
    </row>
    <row r="121" spans="1:8" x14ac:dyDescent="0.25">
      <c r="A121" s="35">
        <f t="shared" si="6"/>
        <v>96</v>
      </c>
      <c r="B121" s="36">
        <f t="shared" si="7"/>
        <v>48183</v>
      </c>
      <c r="C121" s="37">
        <f t="shared" si="8"/>
        <v>596.56768671915654</v>
      </c>
      <c r="D121" s="38"/>
      <c r="E121" s="38"/>
      <c r="F121" s="39">
        <f t="shared" si="9"/>
        <v>437.47</v>
      </c>
      <c r="G121" s="39">
        <f t="shared" si="10"/>
        <v>159.09768671915651</v>
      </c>
      <c r="H121" s="39">
        <f t="shared" si="11"/>
        <v>87335.682074960991</v>
      </c>
    </row>
    <row r="122" spans="1:8" x14ac:dyDescent="0.25">
      <c r="A122" s="35">
        <f t="shared" si="6"/>
        <v>97</v>
      </c>
      <c r="B122" s="36">
        <f t="shared" si="7"/>
        <v>48214</v>
      </c>
      <c r="C122" s="37">
        <f t="shared" si="8"/>
        <v>596.56768671915654</v>
      </c>
      <c r="D122" s="38"/>
      <c r="E122" s="38"/>
      <c r="F122" s="39">
        <f t="shared" si="9"/>
        <v>436.68</v>
      </c>
      <c r="G122" s="39">
        <f t="shared" si="10"/>
        <v>159.88768671915653</v>
      </c>
      <c r="H122" s="39">
        <f t="shared" si="11"/>
        <v>87175.794388241833</v>
      </c>
    </row>
    <row r="123" spans="1:8" x14ac:dyDescent="0.25">
      <c r="A123" s="35">
        <f t="shared" si="6"/>
        <v>98</v>
      </c>
      <c r="B123" s="36">
        <f t="shared" si="7"/>
        <v>48245</v>
      </c>
      <c r="C123" s="37">
        <f t="shared" si="8"/>
        <v>596.56768671915654</v>
      </c>
      <c r="D123" s="38"/>
      <c r="E123" s="38"/>
      <c r="F123" s="39">
        <f t="shared" si="9"/>
        <v>435.88</v>
      </c>
      <c r="G123" s="39">
        <f t="shared" si="10"/>
        <v>160.68768671915655</v>
      </c>
      <c r="H123" s="39">
        <f t="shared" si="11"/>
        <v>87015.106701522673</v>
      </c>
    </row>
    <row r="124" spans="1:8" x14ac:dyDescent="0.25">
      <c r="A124" s="35">
        <f t="shared" si="6"/>
        <v>99</v>
      </c>
      <c r="B124" s="36">
        <f t="shared" si="7"/>
        <v>48274</v>
      </c>
      <c r="C124" s="37">
        <f t="shared" si="8"/>
        <v>596.56768671915654</v>
      </c>
      <c r="D124" s="38"/>
      <c r="E124" s="38"/>
      <c r="F124" s="39">
        <f t="shared" si="9"/>
        <v>435.08</v>
      </c>
      <c r="G124" s="39">
        <f t="shared" si="10"/>
        <v>161.48768671915656</v>
      </c>
      <c r="H124" s="39">
        <f t="shared" si="11"/>
        <v>86853.619014803509</v>
      </c>
    </row>
    <row r="125" spans="1:8" x14ac:dyDescent="0.25">
      <c r="A125" s="35">
        <f t="shared" si="6"/>
        <v>100</v>
      </c>
      <c r="B125" s="36">
        <f t="shared" si="7"/>
        <v>48305</v>
      </c>
      <c r="C125" s="37">
        <f t="shared" si="8"/>
        <v>596.56768671915654</v>
      </c>
      <c r="D125" s="38"/>
      <c r="E125" s="38"/>
      <c r="F125" s="39">
        <f t="shared" si="9"/>
        <v>434.27</v>
      </c>
      <c r="G125" s="39">
        <f t="shared" si="10"/>
        <v>162.29768671915656</v>
      </c>
      <c r="H125" s="39">
        <f t="shared" si="11"/>
        <v>86691.321328084348</v>
      </c>
    </row>
    <row r="126" spans="1:8" x14ac:dyDescent="0.25">
      <c r="A126" s="35">
        <f t="shared" si="6"/>
        <v>101</v>
      </c>
      <c r="B126" s="36">
        <f t="shared" si="7"/>
        <v>48335</v>
      </c>
      <c r="C126" s="37">
        <f t="shared" si="8"/>
        <v>596.56768671915654</v>
      </c>
      <c r="D126" s="38"/>
      <c r="E126" s="38"/>
      <c r="F126" s="39">
        <f t="shared" si="9"/>
        <v>433.46</v>
      </c>
      <c r="G126" s="39">
        <f t="shared" si="10"/>
        <v>163.10768671915656</v>
      </c>
      <c r="H126" s="39">
        <f t="shared" si="11"/>
        <v>86528.21364136519</v>
      </c>
    </row>
    <row r="127" spans="1:8" x14ac:dyDescent="0.25">
      <c r="A127" s="35">
        <f t="shared" si="6"/>
        <v>102</v>
      </c>
      <c r="B127" s="36">
        <f t="shared" si="7"/>
        <v>48366</v>
      </c>
      <c r="C127" s="37">
        <f t="shared" si="8"/>
        <v>596.56768671915654</v>
      </c>
      <c r="D127" s="38"/>
      <c r="E127" s="38"/>
      <c r="F127" s="39">
        <f t="shared" si="9"/>
        <v>432.64</v>
      </c>
      <c r="G127" s="39">
        <f t="shared" si="10"/>
        <v>163.92768671915655</v>
      </c>
      <c r="H127" s="39">
        <f t="shared" si="11"/>
        <v>86364.285954646039</v>
      </c>
    </row>
    <row r="128" spans="1:8" x14ac:dyDescent="0.25">
      <c r="A128" s="35">
        <f t="shared" si="6"/>
        <v>103</v>
      </c>
      <c r="B128" s="36">
        <f t="shared" si="7"/>
        <v>48396</v>
      </c>
      <c r="C128" s="37">
        <f t="shared" si="8"/>
        <v>596.56768671915654</v>
      </c>
      <c r="D128" s="38"/>
      <c r="E128" s="38"/>
      <c r="F128" s="39">
        <f t="shared" si="9"/>
        <v>431.82</v>
      </c>
      <c r="G128" s="39">
        <f t="shared" si="10"/>
        <v>164.74768671915655</v>
      </c>
      <c r="H128" s="39">
        <f t="shared" si="11"/>
        <v>86199.538267926881</v>
      </c>
    </row>
    <row r="129" spans="1:8" x14ac:dyDescent="0.25">
      <c r="A129" s="35">
        <f t="shared" si="6"/>
        <v>104</v>
      </c>
      <c r="B129" s="36">
        <f t="shared" si="7"/>
        <v>48427</v>
      </c>
      <c r="C129" s="37">
        <f t="shared" si="8"/>
        <v>596.56768671915654</v>
      </c>
      <c r="D129" s="38"/>
      <c r="E129" s="38"/>
      <c r="F129" s="39">
        <f t="shared" si="9"/>
        <v>431</v>
      </c>
      <c r="G129" s="39">
        <f t="shared" si="10"/>
        <v>165.56768671915654</v>
      </c>
      <c r="H129" s="39">
        <f t="shared" si="11"/>
        <v>86033.97058120773</v>
      </c>
    </row>
    <row r="130" spans="1:8" x14ac:dyDescent="0.25">
      <c r="A130" s="35">
        <f t="shared" si="6"/>
        <v>105</v>
      </c>
      <c r="B130" s="36">
        <f t="shared" si="7"/>
        <v>48458</v>
      </c>
      <c r="C130" s="37">
        <f t="shared" si="8"/>
        <v>596.56768671915654</v>
      </c>
      <c r="D130" s="38"/>
      <c r="E130" s="38"/>
      <c r="F130" s="39">
        <f t="shared" si="9"/>
        <v>430.17</v>
      </c>
      <c r="G130" s="39">
        <f t="shared" si="10"/>
        <v>166.39768671915652</v>
      </c>
      <c r="H130" s="39">
        <f t="shared" si="11"/>
        <v>85867.572894488578</v>
      </c>
    </row>
    <row r="131" spans="1:8" x14ac:dyDescent="0.25">
      <c r="A131" s="35">
        <f t="shared" si="6"/>
        <v>106</v>
      </c>
      <c r="B131" s="36">
        <f t="shared" si="7"/>
        <v>48488</v>
      </c>
      <c r="C131" s="37">
        <f t="shared" si="8"/>
        <v>596.56768671915654</v>
      </c>
      <c r="D131" s="38"/>
      <c r="E131" s="38"/>
      <c r="F131" s="39">
        <f t="shared" si="9"/>
        <v>429.34</v>
      </c>
      <c r="G131" s="39">
        <f t="shared" si="10"/>
        <v>167.22768671915657</v>
      </c>
      <c r="H131" s="39">
        <f t="shared" si="11"/>
        <v>85700.345207769424</v>
      </c>
    </row>
    <row r="132" spans="1:8" x14ac:dyDescent="0.25">
      <c r="A132" s="35">
        <f t="shared" si="6"/>
        <v>107</v>
      </c>
      <c r="B132" s="36">
        <f t="shared" si="7"/>
        <v>48519</v>
      </c>
      <c r="C132" s="37">
        <f t="shared" si="8"/>
        <v>596.56768671915654</v>
      </c>
      <c r="D132" s="38"/>
      <c r="E132" s="38"/>
      <c r="F132" s="39">
        <f t="shared" si="9"/>
        <v>428.5</v>
      </c>
      <c r="G132" s="39">
        <f t="shared" si="10"/>
        <v>168.06768671915654</v>
      </c>
      <c r="H132" s="39">
        <f t="shared" si="11"/>
        <v>85532.277521050273</v>
      </c>
    </row>
    <row r="133" spans="1:8" x14ac:dyDescent="0.25">
      <c r="A133" s="35">
        <f t="shared" si="6"/>
        <v>108</v>
      </c>
      <c r="B133" s="36">
        <f t="shared" si="7"/>
        <v>48549</v>
      </c>
      <c r="C133" s="37">
        <f t="shared" si="8"/>
        <v>596.56768671915654</v>
      </c>
      <c r="D133" s="38"/>
      <c r="E133" s="38"/>
      <c r="F133" s="39">
        <f t="shared" si="9"/>
        <v>427.66</v>
      </c>
      <c r="G133" s="39">
        <f t="shared" si="10"/>
        <v>168.90768671915652</v>
      </c>
      <c r="H133" s="39">
        <f t="shared" si="11"/>
        <v>85363.369834331112</v>
      </c>
    </row>
    <row r="134" spans="1:8" x14ac:dyDescent="0.25">
      <c r="A134" s="35">
        <f t="shared" si="6"/>
        <v>109</v>
      </c>
      <c r="B134" s="36">
        <f t="shared" si="7"/>
        <v>48580</v>
      </c>
      <c r="C134" s="37">
        <f t="shared" si="8"/>
        <v>596.56768671915654</v>
      </c>
      <c r="D134" s="38"/>
      <c r="E134" s="38"/>
      <c r="F134" s="39">
        <f t="shared" si="9"/>
        <v>426.82</v>
      </c>
      <c r="G134" s="39">
        <f t="shared" si="10"/>
        <v>169.74768671915655</v>
      </c>
      <c r="H134" s="39">
        <f t="shared" si="11"/>
        <v>85193.622147611954</v>
      </c>
    </row>
    <row r="135" spans="1:8" x14ac:dyDescent="0.25">
      <c r="A135" s="35">
        <f t="shared" si="6"/>
        <v>110</v>
      </c>
      <c r="B135" s="36">
        <f t="shared" si="7"/>
        <v>48611</v>
      </c>
      <c r="C135" s="37">
        <f t="shared" si="8"/>
        <v>596.56768671915654</v>
      </c>
      <c r="D135" s="38"/>
      <c r="E135" s="38"/>
      <c r="F135" s="39">
        <f t="shared" si="9"/>
        <v>425.97</v>
      </c>
      <c r="G135" s="39">
        <f t="shared" si="10"/>
        <v>170.59768671915651</v>
      </c>
      <c r="H135" s="39">
        <f t="shared" si="11"/>
        <v>85023.024460892804</v>
      </c>
    </row>
    <row r="136" spans="1:8" x14ac:dyDescent="0.25">
      <c r="A136" s="35">
        <f t="shared" si="6"/>
        <v>111</v>
      </c>
      <c r="B136" s="36">
        <f t="shared" si="7"/>
        <v>48639</v>
      </c>
      <c r="C136" s="37">
        <f t="shared" si="8"/>
        <v>596.56768671915654</v>
      </c>
      <c r="D136" s="38"/>
      <c r="E136" s="38"/>
      <c r="F136" s="39">
        <f t="shared" si="9"/>
        <v>425.12</v>
      </c>
      <c r="G136" s="39">
        <f t="shared" si="10"/>
        <v>171.44768671915654</v>
      </c>
      <c r="H136" s="39">
        <f t="shared" si="11"/>
        <v>84851.576774173649</v>
      </c>
    </row>
    <row r="137" spans="1:8" x14ac:dyDescent="0.25">
      <c r="A137" s="35">
        <f t="shared" si="6"/>
        <v>112</v>
      </c>
      <c r="B137" s="36">
        <f t="shared" si="7"/>
        <v>48670</v>
      </c>
      <c r="C137" s="37">
        <f t="shared" si="8"/>
        <v>596.56768671915654</v>
      </c>
      <c r="D137" s="38"/>
      <c r="E137" s="38"/>
      <c r="F137" s="39">
        <f t="shared" si="9"/>
        <v>424.26</v>
      </c>
      <c r="G137" s="39">
        <f t="shared" si="10"/>
        <v>172.30768671915655</v>
      </c>
      <c r="H137" s="39">
        <f t="shared" si="11"/>
        <v>84679.269087454493</v>
      </c>
    </row>
    <row r="138" spans="1:8" x14ac:dyDescent="0.25">
      <c r="A138" s="35">
        <f t="shared" si="6"/>
        <v>113</v>
      </c>
      <c r="B138" s="36">
        <f t="shared" si="7"/>
        <v>48700</v>
      </c>
      <c r="C138" s="37">
        <f t="shared" si="8"/>
        <v>596.56768671915654</v>
      </c>
      <c r="D138" s="38"/>
      <c r="E138" s="38"/>
      <c r="F138" s="39">
        <f t="shared" si="9"/>
        <v>423.4</v>
      </c>
      <c r="G138" s="39">
        <f t="shared" si="10"/>
        <v>173.16768671915656</v>
      </c>
      <c r="H138" s="39">
        <f t="shared" si="11"/>
        <v>84506.101400735337</v>
      </c>
    </row>
    <row r="139" spans="1:8" x14ac:dyDescent="0.25">
      <c r="A139" s="35">
        <f t="shared" si="6"/>
        <v>114</v>
      </c>
      <c r="B139" s="36">
        <f t="shared" si="7"/>
        <v>48731</v>
      </c>
      <c r="C139" s="37">
        <f t="shared" si="8"/>
        <v>596.56768671915654</v>
      </c>
      <c r="D139" s="38"/>
      <c r="E139" s="38"/>
      <c r="F139" s="39">
        <f t="shared" si="9"/>
        <v>422.53</v>
      </c>
      <c r="G139" s="39">
        <f t="shared" si="10"/>
        <v>174.03768671915657</v>
      </c>
      <c r="H139" s="39">
        <f t="shared" si="11"/>
        <v>84332.063714016185</v>
      </c>
    </row>
    <row r="140" spans="1:8" x14ac:dyDescent="0.25">
      <c r="A140" s="35">
        <f t="shared" si="6"/>
        <v>115</v>
      </c>
      <c r="B140" s="36">
        <f t="shared" si="7"/>
        <v>48761</v>
      </c>
      <c r="C140" s="37">
        <f t="shared" si="8"/>
        <v>596.56768671915654</v>
      </c>
      <c r="D140" s="38"/>
      <c r="E140" s="38"/>
      <c r="F140" s="39">
        <f t="shared" si="9"/>
        <v>421.66</v>
      </c>
      <c r="G140" s="39">
        <f t="shared" si="10"/>
        <v>174.90768671915652</v>
      </c>
      <c r="H140" s="39">
        <f t="shared" si="11"/>
        <v>84157.156027297024</v>
      </c>
    </row>
    <row r="141" spans="1:8" x14ac:dyDescent="0.25">
      <c r="A141" s="35">
        <f t="shared" si="6"/>
        <v>116</v>
      </c>
      <c r="B141" s="36">
        <f t="shared" si="7"/>
        <v>48792</v>
      </c>
      <c r="C141" s="37">
        <f t="shared" si="8"/>
        <v>596.56768671915654</v>
      </c>
      <c r="D141" s="38"/>
      <c r="E141" s="38"/>
      <c r="F141" s="39">
        <f t="shared" si="9"/>
        <v>420.79</v>
      </c>
      <c r="G141" s="39">
        <f t="shared" si="10"/>
        <v>175.77768671915652</v>
      </c>
      <c r="H141" s="39">
        <f t="shared" si="11"/>
        <v>83981.378340577867</v>
      </c>
    </row>
    <row r="142" spans="1:8" x14ac:dyDescent="0.25">
      <c r="A142" s="35">
        <f t="shared" si="6"/>
        <v>117</v>
      </c>
      <c r="B142" s="36">
        <f t="shared" si="7"/>
        <v>48823</v>
      </c>
      <c r="C142" s="37">
        <f t="shared" si="8"/>
        <v>596.56768671915654</v>
      </c>
      <c r="D142" s="38"/>
      <c r="E142" s="38"/>
      <c r="F142" s="39">
        <f t="shared" si="9"/>
        <v>419.91</v>
      </c>
      <c r="G142" s="39">
        <f t="shared" si="10"/>
        <v>176.65768671915652</v>
      </c>
      <c r="H142" s="39">
        <f t="shared" si="11"/>
        <v>83804.720653858705</v>
      </c>
    </row>
    <row r="143" spans="1:8" x14ac:dyDescent="0.25">
      <c r="A143" s="35">
        <f t="shared" si="6"/>
        <v>118</v>
      </c>
      <c r="B143" s="36">
        <f t="shared" si="7"/>
        <v>48853</v>
      </c>
      <c r="C143" s="37">
        <f t="shared" si="8"/>
        <v>596.56768671915654</v>
      </c>
      <c r="D143" s="38"/>
      <c r="E143" s="38"/>
      <c r="F143" s="39">
        <f t="shared" si="9"/>
        <v>419.02</v>
      </c>
      <c r="G143" s="39">
        <f t="shared" si="10"/>
        <v>177.54768671915656</v>
      </c>
      <c r="H143" s="39">
        <f t="shared" si="11"/>
        <v>83627.172967139544</v>
      </c>
    </row>
    <row r="144" spans="1:8" x14ac:dyDescent="0.25">
      <c r="A144" s="35">
        <f t="shared" si="6"/>
        <v>119</v>
      </c>
      <c r="B144" s="36">
        <f t="shared" si="7"/>
        <v>48884</v>
      </c>
      <c r="C144" s="37">
        <f t="shared" si="8"/>
        <v>596.56768671915654</v>
      </c>
      <c r="D144" s="38"/>
      <c r="E144" s="38"/>
      <c r="F144" s="39">
        <f t="shared" si="9"/>
        <v>418.14</v>
      </c>
      <c r="G144" s="39">
        <f t="shared" si="10"/>
        <v>178.42768671915655</v>
      </c>
      <c r="H144" s="39">
        <f t="shared" si="11"/>
        <v>83448.745280420393</v>
      </c>
    </row>
    <row r="145" spans="1:8" x14ac:dyDescent="0.25">
      <c r="A145" s="35">
        <f t="shared" si="6"/>
        <v>120</v>
      </c>
      <c r="B145" s="36">
        <f t="shared" si="7"/>
        <v>48914</v>
      </c>
      <c r="C145" s="37">
        <f t="shared" si="8"/>
        <v>596.56768671915654</v>
      </c>
      <c r="D145" s="38"/>
      <c r="E145" s="38"/>
      <c r="F145" s="39">
        <f t="shared" si="9"/>
        <v>417.24</v>
      </c>
      <c r="G145" s="39">
        <f t="shared" si="10"/>
        <v>179.32768671915653</v>
      </c>
      <c r="H145" s="39">
        <f t="shared" si="11"/>
        <v>83269.417593701233</v>
      </c>
    </row>
    <row r="146" spans="1:8" x14ac:dyDescent="0.25">
      <c r="A146" s="35">
        <f t="shared" si="6"/>
        <v>121</v>
      </c>
      <c r="B146" s="36">
        <f t="shared" si="7"/>
        <v>48945</v>
      </c>
      <c r="C146" s="37">
        <f t="shared" si="8"/>
        <v>596.56768671915654</v>
      </c>
      <c r="D146" s="38"/>
      <c r="E146" s="38"/>
      <c r="F146" s="39">
        <f t="shared" si="9"/>
        <v>416.35</v>
      </c>
      <c r="G146" s="39">
        <f t="shared" si="10"/>
        <v>180.21768671915652</v>
      </c>
      <c r="H146" s="39">
        <f t="shared" si="11"/>
        <v>83089.199906982074</v>
      </c>
    </row>
    <row r="147" spans="1:8" x14ac:dyDescent="0.25">
      <c r="A147" s="35">
        <f t="shared" si="6"/>
        <v>122</v>
      </c>
      <c r="B147" s="36">
        <f t="shared" si="7"/>
        <v>48976</v>
      </c>
      <c r="C147" s="37">
        <f t="shared" si="8"/>
        <v>596.56768671915654</v>
      </c>
      <c r="D147" s="38"/>
      <c r="E147" s="38"/>
      <c r="F147" s="39">
        <f t="shared" si="9"/>
        <v>415.45</v>
      </c>
      <c r="G147" s="39">
        <f t="shared" si="10"/>
        <v>181.11768671915655</v>
      </c>
      <c r="H147" s="39">
        <f t="shared" si="11"/>
        <v>82908.082220262921</v>
      </c>
    </row>
    <row r="148" spans="1:8" x14ac:dyDescent="0.25">
      <c r="A148" s="35">
        <f t="shared" si="6"/>
        <v>123</v>
      </c>
      <c r="B148" s="36">
        <f t="shared" si="7"/>
        <v>49004</v>
      </c>
      <c r="C148" s="37">
        <f t="shared" si="8"/>
        <v>596.56768671915654</v>
      </c>
      <c r="D148" s="38"/>
      <c r="E148" s="38"/>
      <c r="F148" s="39">
        <f t="shared" si="9"/>
        <v>414.54</v>
      </c>
      <c r="G148" s="39">
        <f t="shared" si="10"/>
        <v>182.02768671915652</v>
      </c>
      <c r="H148" s="39">
        <f t="shared" si="11"/>
        <v>82726.054533543764</v>
      </c>
    </row>
    <row r="149" spans="1:8" x14ac:dyDescent="0.25">
      <c r="A149" s="35">
        <f t="shared" si="6"/>
        <v>124</v>
      </c>
      <c r="B149" s="36">
        <f t="shared" si="7"/>
        <v>49035</v>
      </c>
      <c r="C149" s="37">
        <f t="shared" si="8"/>
        <v>596.56768671915654</v>
      </c>
      <c r="D149" s="38"/>
      <c r="E149" s="38"/>
      <c r="F149" s="39">
        <f t="shared" si="9"/>
        <v>413.63</v>
      </c>
      <c r="G149" s="39">
        <f t="shared" si="10"/>
        <v>182.93768671915655</v>
      </c>
      <c r="H149" s="39">
        <f t="shared" si="11"/>
        <v>82543.116846824603</v>
      </c>
    </row>
    <row r="150" spans="1:8" x14ac:dyDescent="0.25">
      <c r="A150" s="35">
        <f t="shared" si="6"/>
        <v>125</v>
      </c>
      <c r="B150" s="36">
        <f t="shared" si="7"/>
        <v>49065</v>
      </c>
      <c r="C150" s="37">
        <f t="shared" si="8"/>
        <v>596.56768671915654</v>
      </c>
      <c r="D150" s="38"/>
      <c r="E150" s="38"/>
      <c r="F150" s="39">
        <f t="shared" si="9"/>
        <v>412.72</v>
      </c>
      <c r="G150" s="39">
        <f t="shared" si="10"/>
        <v>183.84768671915651</v>
      </c>
      <c r="H150" s="39">
        <f t="shared" si="11"/>
        <v>82359.269160105454</v>
      </c>
    </row>
    <row r="151" spans="1:8" x14ac:dyDescent="0.25">
      <c r="A151" s="35">
        <f t="shared" si="6"/>
        <v>126</v>
      </c>
      <c r="B151" s="36">
        <f t="shared" si="7"/>
        <v>49096</v>
      </c>
      <c r="C151" s="37">
        <f t="shared" si="8"/>
        <v>596.56768671915654</v>
      </c>
      <c r="D151" s="38"/>
      <c r="E151" s="38"/>
      <c r="F151" s="39">
        <f t="shared" si="9"/>
        <v>411.8</v>
      </c>
      <c r="G151" s="39">
        <f t="shared" si="10"/>
        <v>184.76768671915653</v>
      </c>
      <c r="H151" s="39">
        <f t="shared" si="11"/>
        <v>82174.501473386292</v>
      </c>
    </row>
    <row r="152" spans="1:8" x14ac:dyDescent="0.25">
      <c r="A152" s="35">
        <f t="shared" si="6"/>
        <v>127</v>
      </c>
      <c r="B152" s="36">
        <f t="shared" si="7"/>
        <v>49126</v>
      </c>
      <c r="C152" s="37">
        <f t="shared" si="8"/>
        <v>596.56768671915654</v>
      </c>
      <c r="D152" s="38"/>
      <c r="E152" s="38"/>
      <c r="F152" s="39">
        <f t="shared" si="9"/>
        <v>410.87</v>
      </c>
      <c r="G152" s="39">
        <f t="shared" si="10"/>
        <v>185.69768671915654</v>
      </c>
      <c r="H152" s="39">
        <f t="shared" si="11"/>
        <v>81988.803786667137</v>
      </c>
    </row>
    <row r="153" spans="1:8" x14ac:dyDescent="0.25">
      <c r="A153" s="35">
        <f t="shared" si="6"/>
        <v>128</v>
      </c>
      <c r="B153" s="36">
        <f t="shared" si="7"/>
        <v>49157</v>
      </c>
      <c r="C153" s="37">
        <f t="shared" si="8"/>
        <v>596.56768671915654</v>
      </c>
      <c r="D153" s="38"/>
      <c r="E153" s="38"/>
      <c r="F153" s="39">
        <f t="shared" si="9"/>
        <v>409.94</v>
      </c>
      <c r="G153" s="39">
        <f t="shared" si="10"/>
        <v>186.62768671915654</v>
      </c>
      <c r="H153" s="39">
        <f t="shared" si="11"/>
        <v>81802.176099947974</v>
      </c>
    </row>
    <row r="154" spans="1:8" x14ac:dyDescent="0.25">
      <c r="A154" s="35">
        <f t="shared" ref="A154:A217" si="12">IF(H153="","",IF(roundOpt,IF(OR(A153&gt;=nPer,ROUND(H153,2)&lt;=0),"",A153+1),IF(OR(A153&gt;=nPer,H153&lt;=0),"",A153+1)))</f>
        <v>129</v>
      </c>
      <c r="B154" s="36">
        <f t="shared" ref="B154:B217" si="13">IF(A154="","",IF(OR(periods_per_year=26,periods_per_year=52),IF(periods_per_year=26,IF(A154=1,beginDate,B153+14),IF(periods_per_year=52,IF(A154=1,beginDate,B153+7),"n/a")),IF(periods_per_year=24,DATE(YEAR(beginDate),MONTH(beginDate)+(A154-1)/2+IF(AND(DAY(beginDate)&gt;=15,MOD(A154,2)=0),1,0),IF(MOD(A154,2)=0,IF(DAY(beginDate)&gt;=15,DAY(beginDate)-14,DAY(beginDate)+14),DAY(beginDate))),IF(DAY(DATE(YEAR(beginDate),MONTH(beginDate)+(A154-1)*monthsPerPeriod,DAY(beginDate)))&lt;&gt;DAY(beginDate),DATE(YEAR(beginDate),MONTH(beginDate)+(A154-1)*monthsPerPeriod+1,0),DATE(YEAR(beginDate),MONTH(beginDate)+(A154-1)*monthsPerPeriod,DAY(beginDate))))))</f>
        <v>49188</v>
      </c>
      <c r="C154" s="37">
        <f t="shared" ref="C154:C217" si="14">IF(A154="","",IF(roundOpt,IF(OR(A154=nPer,payment&gt;ROUND((1+rate)*H153,2)),ROUND((1+rate)*H153,2),payment),IF(OR(A154=nPer,payment&gt;(1+rate)*H153),(1+rate)*H153,payment)))</f>
        <v>596.56768671915654</v>
      </c>
      <c r="D154" s="38"/>
      <c r="E154" s="38"/>
      <c r="F154" s="39">
        <f t="shared" ref="F154:F217" si="15">IF(A154="","",IF(AND(A154=1,pmtType=1),0,IF(roundOpt,ROUND(rate*H153,2),rate*H153)))</f>
        <v>409.01</v>
      </c>
      <c r="G154" s="39">
        <f t="shared" ref="G154:G217" si="16">IF(A154="","",C154-F154+D154)</f>
        <v>187.55768671915655</v>
      </c>
      <c r="H154" s="39">
        <f t="shared" ref="H154:H217" si="17">IF(A154="","",H153-G154)</f>
        <v>81614.618413228818</v>
      </c>
    </row>
    <row r="155" spans="1:8" x14ac:dyDescent="0.25">
      <c r="A155" s="35">
        <f t="shared" si="12"/>
        <v>130</v>
      </c>
      <c r="B155" s="36">
        <f t="shared" si="13"/>
        <v>49218</v>
      </c>
      <c r="C155" s="37">
        <f t="shared" si="14"/>
        <v>596.56768671915654</v>
      </c>
      <c r="D155" s="38"/>
      <c r="E155" s="38"/>
      <c r="F155" s="39">
        <f t="shared" si="15"/>
        <v>408.07</v>
      </c>
      <c r="G155" s="39">
        <f t="shared" si="16"/>
        <v>188.49768671915655</v>
      </c>
      <c r="H155" s="39">
        <f t="shared" si="17"/>
        <v>81426.12072650966</v>
      </c>
    </row>
    <row r="156" spans="1:8" x14ac:dyDescent="0.25">
      <c r="A156" s="35">
        <f t="shared" si="12"/>
        <v>131</v>
      </c>
      <c r="B156" s="36">
        <f t="shared" si="13"/>
        <v>49249</v>
      </c>
      <c r="C156" s="37">
        <f t="shared" si="14"/>
        <v>596.56768671915654</v>
      </c>
      <c r="D156" s="38"/>
      <c r="E156" s="38"/>
      <c r="F156" s="39">
        <f t="shared" si="15"/>
        <v>407.13</v>
      </c>
      <c r="G156" s="39">
        <f t="shared" si="16"/>
        <v>189.43768671915655</v>
      </c>
      <c r="H156" s="39">
        <f t="shared" si="17"/>
        <v>81236.6830397905</v>
      </c>
    </row>
    <row r="157" spans="1:8" x14ac:dyDescent="0.25">
      <c r="A157" s="35">
        <f t="shared" si="12"/>
        <v>132</v>
      </c>
      <c r="B157" s="36">
        <f t="shared" si="13"/>
        <v>49279</v>
      </c>
      <c r="C157" s="37">
        <f t="shared" si="14"/>
        <v>596.56768671915654</v>
      </c>
      <c r="D157" s="38"/>
      <c r="E157" s="38"/>
      <c r="F157" s="39">
        <f t="shared" si="15"/>
        <v>406.18</v>
      </c>
      <c r="G157" s="39">
        <f t="shared" si="16"/>
        <v>190.38768671915653</v>
      </c>
      <c r="H157" s="39">
        <f t="shared" si="17"/>
        <v>81046.295353071342</v>
      </c>
    </row>
    <row r="158" spans="1:8" x14ac:dyDescent="0.25">
      <c r="A158" s="35">
        <f t="shared" si="12"/>
        <v>133</v>
      </c>
      <c r="B158" s="36">
        <f t="shared" si="13"/>
        <v>49310</v>
      </c>
      <c r="C158" s="37">
        <f t="shared" si="14"/>
        <v>596.56768671915654</v>
      </c>
      <c r="D158" s="38"/>
      <c r="E158" s="38"/>
      <c r="F158" s="39">
        <f t="shared" si="15"/>
        <v>405.23</v>
      </c>
      <c r="G158" s="39">
        <f t="shared" si="16"/>
        <v>191.33768671915652</v>
      </c>
      <c r="H158" s="39">
        <f t="shared" si="17"/>
        <v>80854.957666352188</v>
      </c>
    </row>
    <row r="159" spans="1:8" x14ac:dyDescent="0.25">
      <c r="A159" s="35">
        <f t="shared" si="12"/>
        <v>134</v>
      </c>
      <c r="B159" s="36">
        <f t="shared" si="13"/>
        <v>49341</v>
      </c>
      <c r="C159" s="37">
        <f t="shared" si="14"/>
        <v>596.56768671915654</v>
      </c>
      <c r="D159" s="38"/>
      <c r="E159" s="38"/>
      <c r="F159" s="39">
        <f t="shared" si="15"/>
        <v>404.27</v>
      </c>
      <c r="G159" s="39">
        <f t="shared" si="16"/>
        <v>192.29768671915656</v>
      </c>
      <c r="H159" s="39">
        <f t="shared" si="17"/>
        <v>80662.659979633027</v>
      </c>
    </row>
    <row r="160" spans="1:8" x14ac:dyDescent="0.25">
      <c r="A160" s="35">
        <f t="shared" si="12"/>
        <v>135</v>
      </c>
      <c r="B160" s="36">
        <f t="shared" si="13"/>
        <v>49369</v>
      </c>
      <c r="C160" s="37">
        <f t="shared" si="14"/>
        <v>596.56768671915654</v>
      </c>
      <c r="D160" s="38"/>
      <c r="E160" s="38"/>
      <c r="F160" s="39">
        <f t="shared" si="15"/>
        <v>403.31</v>
      </c>
      <c r="G160" s="39">
        <f t="shared" si="16"/>
        <v>193.25768671915654</v>
      </c>
      <c r="H160" s="39">
        <f t="shared" si="17"/>
        <v>80469.402292913874</v>
      </c>
    </row>
    <row r="161" spans="1:8" x14ac:dyDescent="0.25">
      <c r="A161" s="35">
        <f t="shared" si="12"/>
        <v>136</v>
      </c>
      <c r="B161" s="36">
        <f t="shared" si="13"/>
        <v>49400</v>
      </c>
      <c r="C161" s="37">
        <f t="shared" si="14"/>
        <v>596.56768671915654</v>
      </c>
      <c r="D161" s="38"/>
      <c r="E161" s="38"/>
      <c r="F161" s="39">
        <f t="shared" si="15"/>
        <v>402.35</v>
      </c>
      <c r="G161" s="39">
        <f t="shared" si="16"/>
        <v>194.21768671915652</v>
      </c>
      <c r="H161" s="39">
        <f t="shared" si="17"/>
        <v>80275.184606194714</v>
      </c>
    </row>
    <row r="162" spans="1:8" x14ac:dyDescent="0.25">
      <c r="A162" s="35">
        <f t="shared" si="12"/>
        <v>137</v>
      </c>
      <c r="B162" s="36">
        <f t="shared" si="13"/>
        <v>49430</v>
      </c>
      <c r="C162" s="37">
        <f t="shared" si="14"/>
        <v>596.56768671915654</v>
      </c>
      <c r="D162" s="38"/>
      <c r="E162" s="38"/>
      <c r="F162" s="39">
        <f t="shared" si="15"/>
        <v>401.38</v>
      </c>
      <c r="G162" s="39">
        <f t="shared" si="16"/>
        <v>195.18768671915655</v>
      </c>
      <c r="H162" s="39">
        <f t="shared" si="17"/>
        <v>80079.996919475554</v>
      </c>
    </row>
    <row r="163" spans="1:8" x14ac:dyDescent="0.25">
      <c r="A163" s="35">
        <f t="shared" si="12"/>
        <v>138</v>
      </c>
      <c r="B163" s="36">
        <f t="shared" si="13"/>
        <v>49461</v>
      </c>
      <c r="C163" s="37">
        <f t="shared" si="14"/>
        <v>596.56768671915654</v>
      </c>
      <c r="D163" s="38"/>
      <c r="E163" s="38"/>
      <c r="F163" s="39">
        <f t="shared" si="15"/>
        <v>400.4</v>
      </c>
      <c r="G163" s="39">
        <f t="shared" si="16"/>
        <v>196.16768671915656</v>
      </c>
      <c r="H163" s="39">
        <f t="shared" si="17"/>
        <v>79883.829232756398</v>
      </c>
    </row>
    <row r="164" spans="1:8" x14ac:dyDescent="0.25">
      <c r="A164" s="35">
        <f t="shared" si="12"/>
        <v>139</v>
      </c>
      <c r="B164" s="36">
        <f t="shared" si="13"/>
        <v>49491</v>
      </c>
      <c r="C164" s="37">
        <f t="shared" si="14"/>
        <v>596.56768671915654</v>
      </c>
      <c r="D164" s="38"/>
      <c r="E164" s="38"/>
      <c r="F164" s="39">
        <f t="shared" si="15"/>
        <v>399.42</v>
      </c>
      <c r="G164" s="39">
        <f t="shared" si="16"/>
        <v>197.14768671915652</v>
      </c>
      <c r="H164" s="39">
        <f t="shared" si="17"/>
        <v>79686.681546037245</v>
      </c>
    </row>
    <row r="165" spans="1:8" x14ac:dyDescent="0.25">
      <c r="A165" s="35">
        <f t="shared" si="12"/>
        <v>140</v>
      </c>
      <c r="B165" s="36">
        <f t="shared" si="13"/>
        <v>49522</v>
      </c>
      <c r="C165" s="37">
        <f t="shared" si="14"/>
        <v>596.56768671915654</v>
      </c>
      <c r="D165" s="38"/>
      <c r="E165" s="38"/>
      <c r="F165" s="39">
        <f t="shared" si="15"/>
        <v>398.43</v>
      </c>
      <c r="G165" s="39">
        <f t="shared" si="16"/>
        <v>198.13768671915653</v>
      </c>
      <c r="H165" s="39">
        <f t="shared" si="17"/>
        <v>79488.543859318088</v>
      </c>
    </row>
    <row r="166" spans="1:8" x14ac:dyDescent="0.25">
      <c r="A166" s="35">
        <f t="shared" si="12"/>
        <v>141</v>
      </c>
      <c r="B166" s="36">
        <f t="shared" si="13"/>
        <v>49553</v>
      </c>
      <c r="C166" s="37">
        <f t="shared" si="14"/>
        <v>596.56768671915654</v>
      </c>
      <c r="D166" s="38"/>
      <c r="E166" s="38"/>
      <c r="F166" s="39">
        <f t="shared" si="15"/>
        <v>397.44</v>
      </c>
      <c r="G166" s="39">
        <f t="shared" si="16"/>
        <v>199.12768671915654</v>
      </c>
      <c r="H166" s="39">
        <f t="shared" si="17"/>
        <v>79289.416172598925</v>
      </c>
    </row>
    <row r="167" spans="1:8" x14ac:dyDescent="0.25">
      <c r="A167" s="35">
        <f t="shared" si="12"/>
        <v>142</v>
      </c>
      <c r="B167" s="36">
        <f t="shared" si="13"/>
        <v>49583</v>
      </c>
      <c r="C167" s="37">
        <f t="shared" si="14"/>
        <v>596.56768671915654</v>
      </c>
      <c r="D167" s="38"/>
      <c r="E167" s="38"/>
      <c r="F167" s="39">
        <f t="shared" si="15"/>
        <v>396.45</v>
      </c>
      <c r="G167" s="39">
        <f t="shared" si="16"/>
        <v>200.11768671915655</v>
      </c>
      <c r="H167" s="39">
        <f t="shared" si="17"/>
        <v>79089.298485879772</v>
      </c>
    </row>
    <row r="168" spans="1:8" x14ac:dyDescent="0.25">
      <c r="A168" s="35">
        <f t="shared" si="12"/>
        <v>143</v>
      </c>
      <c r="B168" s="36">
        <f t="shared" si="13"/>
        <v>49614</v>
      </c>
      <c r="C168" s="37">
        <f t="shared" si="14"/>
        <v>596.56768671915654</v>
      </c>
      <c r="D168" s="38"/>
      <c r="E168" s="38"/>
      <c r="F168" s="39">
        <f t="shared" si="15"/>
        <v>395.45</v>
      </c>
      <c r="G168" s="39">
        <f t="shared" si="16"/>
        <v>201.11768671915655</v>
      </c>
      <c r="H168" s="39">
        <f t="shared" si="17"/>
        <v>78888.180799160618</v>
      </c>
    </row>
    <row r="169" spans="1:8" x14ac:dyDescent="0.25">
      <c r="A169" s="35">
        <f t="shared" si="12"/>
        <v>144</v>
      </c>
      <c r="B169" s="36">
        <f t="shared" si="13"/>
        <v>49644</v>
      </c>
      <c r="C169" s="37">
        <f t="shared" si="14"/>
        <v>596.56768671915654</v>
      </c>
      <c r="D169" s="38"/>
      <c r="E169" s="38"/>
      <c r="F169" s="39">
        <f t="shared" si="15"/>
        <v>394.44</v>
      </c>
      <c r="G169" s="39">
        <f t="shared" si="16"/>
        <v>202.12768671915654</v>
      </c>
      <c r="H169" s="39">
        <f t="shared" si="17"/>
        <v>78686.053112441456</v>
      </c>
    </row>
    <row r="170" spans="1:8" x14ac:dyDescent="0.25">
      <c r="A170" s="35">
        <f t="shared" si="12"/>
        <v>145</v>
      </c>
      <c r="B170" s="36">
        <f t="shared" si="13"/>
        <v>49675</v>
      </c>
      <c r="C170" s="37">
        <f t="shared" si="14"/>
        <v>596.56768671915654</v>
      </c>
      <c r="D170" s="38"/>
      <c r="E170" s="38"/>
      <c r="F170" s="39">
        <f t="shared" si="15"/>
        <v>393.43</v>
      </c>
      <c r="G170" s="39">
        <f t="shared" si="16"/>
        <v>203.13768671915653</v>
      </c>
      <c r="H170" s="39">
        <f t="shared" si="17"/>
        <v>78482.915425722298</v>
      </c>
    </row>
    <row r="171" spans="1:8" x14ac:dyDescent="0.25">
      <c r="A171" s="35">
        <f t="shared" si="12"/>
        <v>146</v>
      </c>
      <c r="B171" s="36">
        <f t="shared" si="13"/>
        <v>49706</v>
      </c>
      <c r="C171" s="37">
        <f t="shared" si="14"/>
        <v>596.56768671915654</v>
      </c>
      <c r="D171" s="38"/>
      <c r="E171" s="38"/>
      <c r="F171" s="39">
        <f t="shared" si="15"/>
        <v>392.41</v>
      </c>
      <c r="G171" s="39">
        <f t="shared" si="16"/>
        <v>204.15768671915652</v>
      </c>
      <c r="H171" s="39">
        <f t="shared" si="17"/>
        <v>78278.757739003137</v>
      </c>
    </row>
    <row r="172" spans="1:8" x14ac:dyDescent="0.25">
      <c r="A172" s="35">
        <f t="shared" si="12"/>
        <v>147</v>
      </c>
      <c r="B172" s="36">
        <f t="shared" si="13"/>
        <v>49735</v>
      </c>
      <c r="C172" s="37">
        <f t="shared" si="14"/>
        <v>596.56768671915654</v>
      </c>
      <c r="D172" s="38"/>
      <c r="E172" s="38"/>
      <c r="F172" s="39">
        <f t="shared" si="15"/>
        <v>391.39</v>
      </c>
      <c r="G172" s="39">
        <f t="shared" si="16"/>
        <v>205.17768671915655</v>
      </c>
      <c r="H172" s="39">
        <f t="shared" si="17"/>
        <v>78073.580052283985</v>
      </c>
    </row>
    <row r="173" spans="1:8" x14ac:dyDescent="0.25">
      <c r="A173" s="35">
        <f t="shared" si="12"/>
        <v>148</v>
      </c>
      <c r="B173" s="36">
        <f t="shared" si="13"/>
        <v>49766</v>
      </c>
      <c r="C173" s="37">
        <f t="shared" si="14"/>
        <v>596.56768671915654</v>
      </c>
      <c r="D173" s="38"/>
      <c r="E173" s="38"/>
      <c r="F173" s="39">
        <f t="shared" si="15"/>
        <v>390.37</v>
      </c>
      <c r="G173" s="39">
        <f t="shared" si="16"/>
        <v>206.19768671915654</v>
      </c>
      <c r="H173" s="39">
        <f t="shared" si="17"/>
        <v>77867.38236556483</v>
      </c>
    </row>
    <row r="174" spans="1:8" x14ac:dyDescent="0.25">
      <c r="A174" s="35">
        <f t="shared" si="12"/>
        <v>149</v>
      </c>
      <c r="B174" s="36">
        <f t="shared" si="13"/>
        <v>49796</v>
      </c>
      <c r="C174" s="37">
        <f t="shared" si="14"/>
        <v>596.56768671915654</v>
      </c>
      <c r="D174" s="38"/>
      <c r="E174" s="38"/>
      <c r="F174" s="39">
        <f t="shared" si="15"/>
        <v>389.34</v>
      </c>
      <c r="G174" s="39">
        <f t="shared" si="16"/>
        <v>207.22768671915657</v>
      </c>
      <c r="H174" s="39">
        <f t="shared" si="17"/>
        <v>77660.154678845676</v>
      </c>
    </row>
    <row r="175" spans="1:8" x14ac:dyDescent="0.25">
      <c r="A175" s="35">
        <f t="shared" si="12"/>
        <v>150</v>
      </c>
      <c r="B175" s="36">
        <f t="shared" si="13"/>
        <v>49827</v>
      </c>
      <c r="C175" s="37">
        <f t="shared" si="14"/>
        <v>596.56768671915654</v>
      </c>
      <c r="D175" s="38"/>
      <c r="E175" s="38"/>
      <c r="F175" s="39">
        <f t="shared" si="15"/>
        <v>388.3</v>
      </c>
      <c r="G175" s="39">
        <f t="shared" si="16"/>
        <v>208.26768671915653</v>
      </c>
      <c r="H175" s="39">
        <f t="shared" si="17"/>
        <v>77451.886992126514</v>
      </c>
    </row>
    <row r="176" spans="1:8" x14ac:dyDescent="0.25">
      <c r="A176" s="35">
        <f t="shared" si="12"/>
        <v>151</v>
      </c>
      <c r="B176" s="36">
        <f t="shared" si="13"/>
        <v>49857</v>
      </c>
      <c r="C176" s="37">
        <f t="shared" si="14"/>
        <v>596.56768671915654</v>
      </c>
      <c r="D176" s="38"/>
      <c r="E176" s="38"/>
      <c r="F176" s="39">
        <f t="shared" si="15"/>
        <v>387.26</v>
      </c>
      <c r="G176" s="39">
        <f t="shared" si="16"/>
        <v>209.30768671915655</v>
      </c>
      <c r="H176" s="39">
        <f t="shared" si="17"/>
        <v>77242.579305407358</v>
      </c>
    </row>
    <row r="177" spans="1:8" x14ac:dyDescent="0.25">
      <c r="A177" s="35">
        <f t="shared" si="12"/>
        <v>152</v>
      </c>
      <c r="B177" s="36">
        <f t="shared" si="13"/>
        <v>49888</v>
      </c>
      <c r="C177" s="37">
        <f t="shared" si="14"/>
        <v>596.56768671915654</v>
      </c>
      <c r="D177" s="38"/>
      <c r="E177" s="38"/>
      <c r="F177" s="39">
        <f t="shared" si="15"/>
        <v>386.21</v>
      </c>
      <c r="G177" s="39">
        <f t="shared" si="16"/>
        <v>210.35768671915656</v>
      </c>
      <c r="H177" s="39">
        <f t="shared" si="17"/>
        <v>77032.2216186882</v>
      </c>
    </row>
    <row r="178" spans="1:8" x14ac:dyDescent="0.25">
      <c r="A178" s="35">
        <f t="shared" si="12"/>
        <v>153</v>
      </c>
      <c r="B178" s="36">
        <f t="shared" si="13"/>
        <v>49919</v>
      </c>
      <c r="C178" s="37">
        <f t="shared" si="14"/>
        <v>596.56768671915654</v>
      </c>
      <c r="D178" s="38"/>
      <c r="E178" s="38"/>
      <c r="F178" s="39">
        <f t="shared" si="15"/>
        <v>385.16</v>
      </c>
      <c r="G178" s="39">
        <f t="shared" si="16"/>
        <v>211.40768671915652</v>
      </c>
      <c r="H178" s="39">
        <f t="shared" si="17"/>
        <v>76820.813931969038</v>
      </c>
    </row>
    <row r="179" spans="1:8" x14ac:dyDescent="0.25">
      <c r="A179" s="35">
        <f t="shared" si="12"/>
        <v>154</v>
      </c>
      <c r="B179" s="36">
        <f t="shared" si="13"/>
        <v>49949</v>
      </c>
      <c r="C179" s="37">
        <f t="shared" si="14"/>
        <v>596.56768671915654</v>
      </c>
      <c r="D179" s="38"/>
      <c r="E179" s="38"/>
      <c r="F179" s="39">
        <f t="shared" si="15"/>
        <v>384.1</v>
      </c>
      <c r="G179" s="39">
        <f t="shared" si="16"/>
        <v>212.46768671915652</v>
      </c>
      <c r="H179" s="39">
        <f t="shared" si="17"/>
        <v>76608.346245249879</v>
      </c>
    </row>
    <row r="180" spans="1:8" x14ac:dyDescent="0.25">
      <c r="A180" s="35">
        <f t="shared" si="12"/>
        <v>155</v>
      </c>
      <c r="B180" s="36">
        <f t="shared" si="13"/>
        <v>49980</v>
      </c>
      <c r="C180" s="37">
        <f t="shared" si="14"/>
        <v>596.56768671915654</v>
      </c>
      <c r="D180" s="38"/>
      <c r="E180" s="38"/>
      <c r="F180" s="39">
        <f t="shared" si="15"/>
        <v>383.04</v>
      </c>
      <c r="G180" s="39">
        <f t="shared" si="16"/>
        <v>213.52768671915652</v>
      </c>
      <c r="H180" s="39">
        <f t="shared" si="17"/>
        <v>76394.818558530722</v>
      </c>
    </row>
    <row r="181" spans="1:8" x14ac:dyDescent="0.25">
      <c r="A181" s="35">
        <f t="shared" si="12"/>
        <v>156</v>
      </c>
      <c r="B181" s="36">
        <f t="shared" si="13"/>
        <v>50010</v>
      </c>
      <c r="C181" s="37">
        <f t="shared" si="14"/>
        <v>596.56768671915654</v>
      </c>
      <c r="D181" s="38"/>
      <c r="E181" s="38"/>
      <c r="F181" s="39">
        <f t="shared" si="15"/>
        <v>381.97</v>
      </c>
      <c r="G181" s="39">
        <f t="shared" si="16"/>
        <v>214.59768671915651</v>
      </c>
      <c r="H181" s="39">
        <f t="shared" si="17"/>
        <v>76180.220871811573</v>
      </c>
    </row>
    <row r="182" spans="1:8" x14ac:dyDescent="0.25">
      <c r="A182" s="35">
        <f t="shared" si="12"/>
        <v>157</v>
      </c>
      <c r="B182" s="36">
        <f t="shared" si="13"/>
        <v>50041</v>
      </c>
      <c r="C182" s="37">
        <f t="shared" si="14"/>
        <v>596.56768671915654</v>
      </c>
      <c r="D182" s="38"/>
      <c r="E182" s="38"/>
      <c r="F182" s="39">
        <f t="shared" si="15"/>
        <v>380.9</v>
      </c>
      <c r="G182" s="39">
        <f t="shared" si="16"/>
        <v>215.66768671915656</v>
      </c>
      <c r="H182" s="39">
        <f t="shared" si="17"/>
        <v>75964.553185092416</v>
      </c>
    </row>
    <row r="183" spans="1:8" x14ac:dyDescent="0.25">
      <c r="A183" s="35">
        <f t="shared" si="12"/>
        <v>158</v>
      </c>
      <c r="B183" s="36">
        <f t="shared" si="13"/>
        <v>50072</v>
      </c>
      <c r="C183" s="37">
        <f t="shared" si="14"/>
        <v>596.56768671915654</v>
      </c>
      <c r="D183" s="38"/>
      <c r="E183" s="38"/>
      <c r="F183" s="39">
        <f t="shared" si="15"/>
        <v>379.82</v>
      </c>
      <c r="G183" s="39">
        <f t="shared" si="16"/>
        <v>216.74768671915655</v>
      </c>
      <c r="H183" s="39">
        <f t="shared" si="17"/>
        <v>75747.805498373258</v>
      </c>
    </row>
    <row r="184" spans="1:8" x14ac:dyDescent="0.25">
      <c r="A184" s="35">
        <f t="shared" si="12"/>
        <v>159</v>
      </c>
      <c r="B184" s="36">
        <f t="shared" si="13"/>
        <v>50100</v>
      </c>
      <c r="C184" s="37">
        <f t="shared" si="14"/>
        <v>596.56768671915654</v>
      </c>
      <c r="D184" s="38"/>
      <c r="E184" s="38"/>
      <c r="F184" s="39">
        <f t="shared" si="15"/>
        <v>378.74</v>
      </c>
      <c r="G184" s="39">
        <f t="shared" si="16"/>
        <v>217.82768671915653</v>
      </c>
      <c r="H184" s="39">
        <f t="shared" si="17"/>
        <v>75529.977811654098</v>
      </c>
    </row>
    <row r="185" spans="1:8" x14ac:dyDescent="0.25">
      <c r="A185" s="35">
        <f t="shared" si="12"/>
        <v>160</v>
      </c>
      <c r="B185" s="36">
        <f t="shared" si="13"/>
        <v>50131</v>
      </c>
      <c r="C185" s="37">
        <f t="shared" si="14"/>
        <v>596.56768671915654</v>
      </c>
      <c r="D185" s="38"/>
      <c r="E185" s="38"/>
      <c r="F185" s="39">
        <f t="shared" si="15"/>
        <v>377.65</v>
      </c>
      <c r="G185" s="39">
        <f t="shared" si="16"/>
        <v>218.91768671915656</v>
      </c>
      <c r="H185" s="39">
        <f t="shared" si="17"/>
        <v>75311.060124934942</v>
      </c>
    </row>
    <row r="186" spans="1:8" x14ac:dyDescent="0.25">
      <c r="A186" s="35">
        <f t="shared" si="12"/>
        <v>161</v>
      </c>
      <c r="B186" s="36">
        <f t="shared" si="13"/>
        <v>50161</v>
      </c>
      <c r="C186" s="37">
        <f t="shared" si="14"/>
        <v>596.56768671915654</v>
      </c>
      <c r="D186" s="38"/>
      <c r="E186" s="38"/>
      <c r="F186" s="39">
        <f t="shared" si="15"/>
        <v>376.56</v>
      </c>
      <c r="G186" s="39">
        <f t="shared" si="16"/>
        <v>220.00768671915654</v>
      </c>
      <c r="H186" s="39">
        <f t="shared" si="17"/>
        <v>75091.052438215789</v>
      </c>
    </row>
    <row r="187" spans="1:8" x14ac:dyDescent="0.25">
      <c r="A187" s="35">
        <f t="shared" si="12"/>
        <v>162</v>
      </c>
      <c r="B187" s="36">
        <f t="shared" si="13"/>
        <v>50192</v>
      </c>
      <c r="C187" s="37">
        <f t="shared" si="14"/>
        <v>596.56768671915654</v>
      </c>
      <c r="D187" s="38"/>
      <c r="E187" s="38"/>
      <c r="F187" s="39">
        <f t="shared" si="15"/>
        <v>375.46</v>
      </c>
      <c r="G187" s="39">
        <f t="shared" si="16"/>
        <v>221.10768671915656</v>
      </c>
      <c r="H187" s="39">
        <f t="shared" si="17"/>
        <v>74869.94475149663</v>
      </c>
    </row>
    <row r="188" spans="1:8" x14ac:dyDescent="0.25">
      <c r="A188" s="35">
        <f t="shared" si="12"/>
        <v>163</v>
      </c>
      <c r="B188" s="36">
        <f t="shared" si="13"/>
        <v>50222</v>
      </c>
      <c r="C188" s="37">
        <f t="shared" si="14"/>
        <v>596.56768671915654</v>
      </c>
      <c r="D188" s="38"/>
      <c r="E188" s="38"/>
      <c r="F188" s="39">
        <f t="shared" si="15"/>
        <v>374.35</v>
      </c>
      <c r="G188" s="39">
        <f t="shared" si="16"/>
        <v>222.21768671915652</v>
      </c>
      <c r="H188" s="39">
        <f t="shared" si="17"/>
        <v>74647.727064777471</v>
      </c>
    </row>
    <row r="189" spans="1:8" x14ac:dyDescent="0.25">
      <c r="A189" s="35">
        <f t="shared" si="12"/>
        <v>164</v>
      </c>
      <c r="B189" s="36">
        <f t="shared" si="13"/>
        <v>50253</v>
      </c>
      <c r="C189" s="37">
        <f t="shared" si="14"/>
        <v>596.56768671915654</v>
      </c>
      <c r="D189" s="38"/>
      <c r="E189" s="38"/>
      <c r="F189" s="39">
        <f t="shared" si="15"/>
        <v>373.24</v>
      </c>
      <c r="G189" s="39">
        <f t="shared" si="16"/>
        <v>223.32768671915653</v>
      </c>
      <c r="H189" s="39">
        <f t="shared" si="17"/>
        <v>74424.399378058311</v>
      </c>
    </row>
    <row r="190" spans="1:8" x14ac:dyDescent="0.25">
      <c r="A190" s="35">
        <f t="shared" si="12"/>
        <v>165</v>
      </c>
      <c r="B190" s="36">
        <f t="shared" si="13"/>
        <v>50284</v>
      </c>
      <c r="C190" s="37">
        <f t="shared" si="14"/>
        <v>596.56768671915654</v>
      </c>
      <c r="D190" s="38"/>
      <c r="E190" s="38"/>
      <c r="F190" s="39">
        <f t="shared" si="15"/>
        <v>372.12</v>
      </c>
      <c r="G190" s="39">
        <f t="shared" si="16"/>
        <v>224.44768671915654</v>
      </c>
      <c r="H190" s="39">
        <f t="shared" si="17"/>
        <v>74199.951691339156</v>
      </c>
    </row>
    <row r="191" spans="1:8" x14ac:dyDescent="0.25">
      <c r="A191" s="35">
        <f t="shared" si="12"/>
        <v>166</v>
      </c>
      <c r="B191" s="36">
        <f t="shared" si="13"/>
        <v>50314</v>
      </c>
      <c r="C191" s="37">
        <f t="shared" si="14"/>
        <v>596.56768671915654</v>
      </c>
      <c r="D191" s="38"/>
      <c r="E191" s="38"/>
      <c r="F191" s="39">
        <f t="shared" si="15"/>
        <v>371</v>
      </c>
      <c r="G191" s="39">
        <f t="shared" si="16"/>
        <v>225.56768671915654</v>
      </c>
      <c r="H191" s="39">
        <f t="shared" si="17"/>
        <v>73974.384004620006</v>
      </c>
    </row>
    <row r="192" spans="1:8" x14ac:dyDescent="0.25">
      <c r="A192" s="35">
        <f t="shared" si="12"/>
        <v>167</v>
      </c>
      <c r="B192" s="36">
        <f t="shared" si="13"/>
        <v>50345</v>
      </c>
      <c r="C192" s="37">
        <f t="shared" si="14"/>
        <v>596.56768671915654</v>
      </c>
      <c r="D192" s="38"/>
      <c r="E192" s="38"/>
      <c r="F192" s="39">
        <f t="shared" si="15"/>
        <v>369.87</v>
      </c>
      <c r="G192" s="39">
        <f t="shared" si="16"/>
        <v>226.69768671915654</v>
      </c>
      <c r="H192" s="39">
        <f t="shared" si="17"/>
        <v>73747.686317900851</v>
      </c>
    </row>
    <row r="193" spans="1:8" x14ac:dyDescent="0.25">
      <c r="A193" s="35">
        <f t="shared" si="12"/>
        <v>168</v>
      </c>
      <c r="B193" s="36">
        <f t="shared" si="13"/>
        <v>50375</v>
      </c>
      <c r="C193" s="37">
        <f t="shared" si="14"/>
        <v>596.56768671915654</v>
      </c>
      <c r="D193" s="38"/>
      <c r="E193" s="38"/>
      <c r="F193" s="39">
        <f t="shared" si="15"/>
        <v>368.74</v>
      </c>
      <c r="G193" s="39">
        <f t="shared" si="16"/>
        <v>227.82768671915653</v>
      </c>
      <c r="H193" s="39">
        <f t="shared" si="17"/>
        <v>73519.858631181691</v>
      </c>
    </row>
    <row r="194" spans="1:8" x14ac:dyDescent="0.25">
      <c r="A194" s="35">
        <f t="shared" si="12"/>
        <v>169</v>
      </c>
      <c r="B194" s="36">
        <f t="shared" si="13"/>
        <v>50406</v>
      </c>
      <c r="C194" s="37">
        <f t="shared" si="14"/>
        <v>596.56768671915654</v>
      </c>
      <c r="D194" s="38"/>
      <c r="E194" s="38"/>
      <c r="F194" s="39">
        <f t="shared" si="15"/>
        <v>367.6</v>
      </c>
      <c r="G194" s="39">
        <f t="shared" si="16"/>
        <v>228.96768671915652</v>
      </c>
      <c r="H194" s="39">
        <f t="shared" si="17"/>
        <v>73290.890944462531</v>
      </c>
    </row>
    <row r="195" spans="1:8" x14ac:dyDescent="0.25">
      <c r="A195" s="35">
        <f t="shared" si="12"/>
        <v>170</v>
      </c>
      <c r="B195" s="36">
        <f t="shared" si="13"/>
        <v>50437</v>
      </c>
      <c r="C195" s="37">
        <f t="shared" si="14"/>
        <v>596.56768671915654</v>
      </c>
      <c r="D195" s="38"/>
      <c r="E195" s="38"/>
      <c r="F195" s="39">
        <f t="shared" si="15"/>
        <v>366.45</v>
      </c>
      <c r="G195" s="39">
        <f t="shared" si="16"/>
        <v>230.11768671915655</v>
      </c>
      <c r="H195" s="39">
        <f t="shared" si="17"/>
        <v>73060.773257743378</v>
      </c>
    </row>
    <row r="196" spans="1:8" x14ac:dyDescent="0.25">
      <c r="A196" s="35">
        <f t="shared" si="12"/>
        <v>171</v>
      </c>
      <c r="B196" s="36">
        <f t="shared" si="13"/>
        <v>50465</v>
      </c>
      <c r="C196" s="37">
        <f t="shared" si="14"/>
        <v>596.56768671915654</v>
      </c>
      <c r="D196" s="38"/>
      <c r="E196" s="38"/>
      <c r="F196" s="39">
        <f t="shared" si="15"/>
        <v>365.3</v>
      </c>
      <c r="G196" s="39">
        <f t="shared" si="16"/>
        <v>231.26768671915653</v>
      </c>
      <c r="H196" s="39">
        <f t="shared" si="17"/>
        <v>72829.505571024216</v>
      </c>
    </row>
    <row r="197" spans="1:8" x14ac:dyDescent="0.25">
      <c r="A197" s="35">
        <f t="shared" si="12"/>
        <v>172</v>
      </c>
      <c r="B197" s="36">
        <f t="shared" si="13"/>
        <v>50496</v>
      </c>
      <c r="C197" s="37">
        <f t="shared" si="14"/>
        <v>596.56768671915654</v>
      </c>
      <c r="D197" s="38"/>
      <c r="E197" s="38"/>
      <c r="F197" s="39">
        <f t="shared" si="15"/>
        <v>364.15</v>
      </c>
      <c r="G197" s="39">
        <f t="shared" si="16"/>
        <v>232.41768671915656</v>
      </c>
      <c r="H197" s="39">
        <f t="shared" si="17"/>
        <v>72597.08788430506</v>
      </c>
    </row>
    <row r="198" spans="1:8" x14ac:dyDescent="0.25">
      <c r="A198" s="35">
        <f t="shared" si="12"/>
        <v>173</v>
      </c>
      <c r="B198" s="36">
        <f t="shared" si="13"/>
        <v>50526</v>
      </c>
      <c r="C198" s="37">
        <f t="shared" si="14"/>
        <v>596.56768671915654</v>
      </c>
      <c r="D198" s="38"/>
      <c r="E198" s="38"/>
      <c r="F198" s="39">
        <f t="shared" si="15"/>
        <v>362.99</v>
      </c>
      <c r="G198" s="39">
        <f t="shared" si="16"/>
        <v>233.57768671915653</v>
      </c>
      <c r="H198" s="39">
        <f t="shared" si="17"/>
        <v>72363.5101975859</v>
      </c>
    </row>
    <row r="199" spans="1:8" x14ac:dyDescent="0.25">
      <c r="A199" s="35">
        <f t="shared" si="12"/>
        <v>174</v>
      </c>
      <c r="B199" s="36">
        <f t="shared" si="13"/>
        <v>50557</v>
      </c>
      <c r="C199" s="37">
        <f t="shared" si="14"/>
        <v>596.56768671915654</v>
      </c>
      <c r="D199" s="38"/>
      <c r="E199" s="38"/>
      <c r="F199" s="39">
        <f t="shared" si="15"/>
        <v>361.82</v>
      </c>
      <c r="G199" s="39">
        <f t="shared" si="16"/>
        <v>234.74768671915655</v>
      </c>
      <c r="H199" s="39">
        <f t="shared" si="17"/>
        <v>72128.762510866742</v>
      </c>
    </row>
    <row r="200" spans="1:8" x14ac:dyDescent="0.25">
      <c r="A200" s="35">
        <f t="shared" si="12"/>
        <v>175</v>
      </c>
      <c r="B200" s="36">
        <f t="shared" si="13"/>
        <v>50587</v>
      </c>
      <c r="C200" s="37">
        <f t="shared" si="14"/>
        <v>596.56768671915654</v>
      </c>
      <c r="D200" s="38"/>
      <c r="E200" s="38"/>
      <c r="F200" s="39">
        <f t="shared" si="15"/>
        <v>360.64</v>
      </c>
      <c r="G200" s="39">
        <f t="shared" si="16"/>
        <v>235.92768671915655</v>
      </c>
      <c r="H200" s="39">
        <f t="shared" si="17"/>
        <v>71892.834824147591</v>
      </c>
    </row>
    <row r="201" spans="1:8" x14ac:dyDescent="0.25">
      <c r="A201" s="35">
        <f t="shared" si="12"/>
        <v>176</v>
      </c>
      <c r="B201" s="36">
        <f t="shared" si="13"/>
        <v>50618</v>
      </c>
      <c r="C201" s="37">
        <f t="shared" si="14"/>
        <v>596.56768671915654</v>
      </c>
      <c r="D201" s="38"/>
      <c r="E201" s="38"/>
      <c r="F201" s="39">
        <f t="shared" si="15"/>
        <v>359.46</v>
      </c>
      <c r="G201" s="39">
        <f t="shared" si="16"/>
        <v>237.10768671915656</v>
      </c>
      <c r="H201" s="39">
        <f t="shared" si="17"/>
        <v>71655.727137428432</v>
      </c>
    </row>
    <row r="202" spans="1:8" x14ac:dyDescent="0.25">
      <c r="A202" s="35">
        <f t="shared" si="12"/>
        <v>177</v>
      </c>
      <c r="B202" s="36">
        <f t="shared" si="13"/>
        <v>50649</v>
      </c>
      <c r="C202" s="37">
        <f t="shared" si="14"/>
        <v>596.56768671915654</v>
      </c>
      <c r="D202" s="38"/>
      <c r="E202" s="38"/>
      <c r="F202" s="39">
        <f t="shared" si="15"/>
        <v>358.28</v>
      </c>
      <c r="G202" s="39">
        <f t="shared" si="16"/>
        <v>238.28768671915657</v>
      </c>
      <c r="H202" s="39">
        <f t="shared" si="17"/>
        <v>71417.43945070928</v>
      </c>
    </row>
    <row r="203" spans="1:8" x14ac:dyDescent="0.25">
      <c r="A203" s="35">
        <f t="shared" si="12"/>
        <v>178</v>
      </c>
      <c r="B203" s="36">
        <f t="shared" si="13"/>
        <v>50679</v>
      </c>
      <c r="C203" s="37">
        <f t="shared" si="14"/>
        <v>596.56768671915654</v>
      </c>
      <c r="D203" s="38"/>
      <c r="E203" s="38"/>
      <c r="F203" s="39">
        <f t="shared" si="15"/>
        <v>357.09</v>
      </c>
      <c r="G203" s="39">
        <f t="shared" si="16"/>
        <v>239.47768671915657</v>
      </c>
      <c r="H203" s="39">
        <f t="shared" si="17"/>
        <v>71177.961763990126</v>
      </c>
    </row>
    <row r="204" spans="1:8" x14ac:dyDescent="0.25">
      <c r="A204" s="35">
        <f t="shared" si="12"/>
        <v>179</v>
      </c>
      <c r="B204" s="36">
        <f t="shared" si="13"/>
        <v>50710</v>
      </c>
      <c r="C204" s="37">
        <f t="shared" si="14"/>
        <v>596.56768671915654</v>
      </c>
      <c r="D204" s="38"/>
      <c r="E204" s="38"/>
      <c r="F204" s="39">
        <f t="shared" si="15"/>
        <v>355.89</v>
      </c>
      <c r="G204" s="39">
        <f t="shared" si="16"/>
        <v>240.67768671915655</v>
      </c>
      <c r="H204" s="39">
        <f t="shared" si="17"/>
        <v>70937.284077270975</v>
      </c>
    </row>
    <row r="205" spans="1:8" x14ac:dyDescent="0.25">
      <c r="A205" s="35">
        <f t="shared" si="12"/>
        <v>180</v>
      </c>
      <c r="B205" s="36">
        <f t="shared" si="13"/>
        <v>50740</v>
      </c>
      <c r="C205" s="37">
        <f t="shared" si="14"/>
        <v>596.56768671915654</v>
      </c>
      <c r="D205" s="38"/>
      <c r="E205" s="38"/>
      <c r="F205" s="39">
        <f t="shared" si="15"/>
        <v>354.69</v>
      </c>
      <c r="G205" s="39">
        <f t="shared" si="16"/>
        <v>241.87768671915654</v>
      </c>
      <c r="H205" s="39">
        <f t="shared" si="17"/>
        <v>70695.406390551812</v>
      </c>
    </row>
    <row r="206" spans="1:8" x14ac:dyDescent="0.25">
      <c r="A206" s="35">
        <f t="shared" si="12"/>
        <v>181</v>
      </c>
      <c r="B206" s="36">
        <f t="shared" si="13"/>
        <v>50771</v>
      </c>
      <c r="C206" s="37">
        <f t="shared" si="14"/>
        <v>596.56768671915654</v>
      </c>
      <c r="D206" s="38"/>
      <c r="E206" s="38"/>
      <c r="F206" s="39">
        <f t="shared" si="15"/>
        <v>353.48</v>
      </c>
      <c r="G206" s="39">
        <f t="shared" si="16"/>
        <v>243.08768671915652</v>
      </c>
      <c r="H206" s="39">
        <f t="shared" si="17"/>
        <v>70452.318703832658</v>
      </c>
    </row>
    <row r="207" spans="1:8" x14ac:dyDescent="0.25">
      <c r="A207" s="35">
        <f t="shared" si="12"/>
        <v>182</v>
      </c>
      <c r="B207" s="36">
        <f t="shared" si="13"/>
        <v>50802</v>
      </c>
      <c r="C207" s="37">
        <f t="shared" si="14"/>
        <v>596.56768671915654</v>
      </c>
      <c r="D207" s="38"/>
      <c r="E207" s="38"/>
      <c r="F207" s="39">
        <f t="shared" si="15"/>
        <v>352.26</v>
      </c>
      <c r="G207" s="39">
        <f t="shared" si="16"/>
        <v>244.30768671915655</v>
      </c>
      <c r="H207" s="39">
        <f t="shared" si="17"/>
        <v>70208.011017113502</v>
      </c>
    </row>
    <row r="208" spans="1:8" x14ac:dyDescent="0.25">
      <c r="A208" s="35">
        <f t="shared" si="12"/>
        <v>183</v>
      </c>
      <c r="B208" s="36">
        <f t="shared" si="13"/>
        <v>50830</v>
      </c>
      <c r="C208" s="37">
        <f t="shared" si="14"/>
        <v>596.56768671915654</v>
      </c>
      <c r="D208" s="38"/>
      <c r="E208" s="38"/>
      <c r="F208" s="39">
        <f t="shared" si="15"/>
        <v>351.04</v>
      </c>
      <c r="G208" s="39">
        <f t="shared" si="16"/>
        <v>245.52768671915652</v>
      </c>
      <c r="H208" s="39">
        <f t="shared" si="17"/>
        <v>69962.483330394345</v>
      </c>
    </row>
    <row r="209" spans="1:8" x14ac:dyDescent="0.25">
      <c r="A209" s="35">
        <f t="shared" si="12"/>
        <v>184</v>
      </c>
      <c r="B209" s="36">
        <f t="shared" si="13"/>
        <v>50861</v>
      </c>
      <c r="C209" s="37">
        <f t="shared" si="14"/>
        <v>596.56768671915654</v>
      </c>
      <c r="D209" s="38"/>
      <c r="E209" s="38"/>
      <c r="F209" s="39">
        <f t="shared" si="15"/>
        <v>349.81</v>
      </c>
      <c r="G209" s="39">
        <f t="shared" si="16"/>
        <v>246.75768671915654</v>
      </c>
      <c r="H209" s="39">
        <f t="shared" si="17"/>
        <v>69715.725643675192</v>
      </c>
    </row>
    <row r="210" spans="1:8" x14ac:dyDescent="0.25">
      <c r="A210" s="35">
        <f t="shared" si="12"/>
        <v>185</v>
      </c>
      <c r="B210" s="36">
        <f t="shared" si="13"/>
        <v>50891</v>
      </c>
      <c r="C210" s="37">
        <f t="shared" si="14"/>
        <v>596.56768671915654</v>
      </c>
      <c r="D210" s="38"/>
      <c r="E210" s="38"/>
      <c r="F210" s="39">
        <f t="shared" si="15"/>
        <v>348.58</v>
      </c>
      <c r="G210" s="39">
        <f t="shared" si="16"/>
        <v>247.98768671915656</v>
      </c>
      <c r="H210" s="39">
        <f t="shared" si="17"/>
        <v>69467.737956956029</v>
      </c>
    </row>
    <row r="211" spans="1:8" x14ac:dyDescent="0.25">
      <c r="A211" s="35">
        <f t="shared" si="12"/>
        <v>186</v>
      </c>
      <c r="B211" s="36">
        <f t="shared" si="13"/>
        <v>50922</v>
      </c>
      <c r="C211" s="37">
        <f t="shared" si="14"/>
        <v>596.56768671915654</v>
      </c>
      <c r="D211" s="38"/>
      <c r="E211" s="38"/>
      <c r="F211" s="39">
        <f t="shared" si="15"/>
        <v>347.34</v>
      </c>
      <c r="G211" s="39">
        <f t="shared" si="16"/>
        <v>249.22768671915657</v>
      </c>
      <c r="H211" s="39">
        <f t="shared" si="17"/>
        <v>69218.510270236875</v>
      </c>
    </row>
    <row r="212" spans="1:8" x14ac:dyDescent="0.25">
      <c r="A212" s="35">
        <f t="shared" si="12"/>
        <v>187</v>
      </c>
      <c r="B212" s="36">
        <f t="shared" si="13"/>
        <v>50952</v>
      </c>
      <c r="C212" s="37">
        <f t="shared" si="14"/>
        <v>596.56768671915654</v>
      </c>
      <c r="D212" s="38"/>
      <c r="E212" s="38"/>
      <c r="F212" s="39">
        <f t="shared" si="15"/>
        <v>346.09</v>
      </c>
      <c r="G212" s="39">
        <f t="shared" si="16"/>
        <v>250.47768671915657</v>
      </c>
      <c r="H212" s="39">
        <f t="shared" si="17"/>
        <v>68968.032583517721</v>
      </c>
    </row>
    <row r="213" spans="1:8" x14ac:dyDescent="0.25">
      <c r="A213" s="35">
        <f t="shared" si="12"/>
        <v>188</v>
      </c>
      <c r="B213" s="36">
        <f t="shared" si="13"/>
        <v>50983</v>
      </c>
      <c r="C213" s="37">
        <f t="shared" si="14"/>
        <v>596.56768671915654</v>
      </c>
      <c r="D213" s="38"/>
      <c r="E213" s="38"/>
      <c r="F213" s="39">
        <f t="shared" si="15"/>
        <v>344.84</v>
      </c>
      <c r="G213" s="39">
        <f t="shared" si="16"/>
        <v>251.72768671915657</v>
      </c>
      <c r="H213" s="39">
        <f t="shared" si="17"/>
        <v>68716.304896798567</v>
      </c>
    </row>
    <row r="214" spans="1:8" x14ac:dyDescent="0.25">
      <c r="A214" s="35">
        <f t="shared" si="12"/>
        <v>189</v>
      </c>
      <c r="B214" s="36">
        <f t="shared" si="13"/>
        <v>51014</v>
      </c>
      <c r="C214" s="37">
        <f t="shared" si="14"/>
        <v>596.56768671915654</v>
      </c>
      <c r="D214" s="38"/>
      <c r="E214" s="38"/>
      <c r="F214" s="39">
        <f t="shared" si="15"/>
        <v>343.58</v>
      </c>
      <c r="G214" s="39">
        <f t="shared" si="16"/>
        <v>252.98768671915656</v>
      </c>
      <c r="H214" s="39">
        <f t="shared" si="17"/>
        <v>68463.317210079404</v>
      </c>
    </row>
    <row r="215" spans="1:8" x14ac:dyDescent="0.25">
      <c r="A215" s="35">
        <f t="shared" si="12"/>
        <v>190</v>
      </c>
      <c r="B215" s="36">
        <f t="shared" si="13"/>
        <v>51044</v>
      </c>
      <c r="C215" s="37">
        <f t="shared" si="14"/>
        <v>596.56768671915654</v>
      </c>
      <c r="D215" s="38"/>
      <c r="E215" s="38"/>
      <c r="F215" s="39">
        <f t="shared" si="15"/>
        <v>342.32</v>
      </c>
      <c r="G215" s="39">
        <f t="shared" si="16"/>
        <v>254.24768671915655</v>
      </c>
      <c r="H215" s="39">
        <f t="shared" si="17"/>
        <v>68209.069523360246</v>
      </c>
    </row>
    <row r="216" spans="1:8" x14ac:dyDescent="0.25">
      <c r="A216" s="35">
        <f t="shared" si="12"/>
        <v>191</v>
      </c>
      <c r="B216" s="36">
        <f t="shared" si="13"/>
        <v>51075</v>
      </c>
      <c r="C216" s="37">
        <f t="shared" si="14"/>
        <v>596.56768671915654</v>
      </c>
      <c r="D216" s="38"/>
      <c r="E216" s="38"/>
      <c r="F216" s="39">
        <f t="shared" si="15"/>
        <v>341.05</v>
      </c>
      <c r="G216" s="39">
        <f t="shared" si="16"/>
        <v>255.51768671915653</v>
      </c>
      <c r="H216" s="39">
        <f t="shared" si="17"/>
        <v>67953.551836641083</v>
      </c>
    </row>
    <row r="217" spans="1:8" x14ac:dyDescent="0.25">
      <c r="A217" s="35">
        <f t="shared" si="12"/>
        <v>192</v>
      </c>
      <c r="B217" s="36">
        <f t="shared" si="13"/>
        <v>51105</v>
      </c>
      <c r="C217" s="37">
        <f t="shared" si="14"/>
        <v>596.56768671915654</v>
      </c>
      <c r="D217" s="38"/>
      <c r="E217" s="38"/>
      <c r="F217" s="39">
        <f t="shared" si="15"/>
        <v>339.77</v>
      </c>
      <c r="G217" s="39">
        <f t="shared" si="16"/>
        <v>256.79768671915656</v>
      </c>
      <c r="H217" s="39">
        <f t="shared" si="17"/>
        <v>67696.754149921922</v>
      </c>
    </row>
    <row r="218" spans="1:8" x14ac:dyDescent="0.25">
      <c r="A218" s="35">
        <f t="shared" ref="A218:A281" si="18">IF(H217="","",IF(roundOpt,IF(OR(A217&gt;=nPer,ROUND(H217,2)&lt;=0),"",A217+1),IF(OR(A217&gt;=nPer,H217&lt;=0),"",A217+1)))</f>
        <v>193</v>
      </c>
      <c r="B218" s="36">
        <f t="shared" ref="B218:B281" si="19">IF(A218="","",IF(OR(periods_per_year=26,periods_per_year=52),IF(periods_per_year=26,IF(A218=1,beginDate,B217+14),IF(periods_per_year=52,IF(A218=1,beginDate,B217+7),"n/a")),IF(periods_per_year=24,DATE(YEAR(beginDate),MONTH(beginDate)+(A218-1)/2+IF(AND(DAY(beginDate)&gt;=15,MOD(A218,2)=0),1,0),IF(MOD(A218,2)=0,IF(DAY(beginDate)&gt;=15,DAY(beginDate)-14,DAY(beginDate)+14),DAY(beginDate))),IF(DAY(DATE(YEAR(beginDate),MONTH(beginDate)+(A218-1)*monthsPerPeriod,DAY(beginDate)))&lt;&gt;DAY(beginDate),DATE(YEAR(beginDate),MONTH(beginDate)+(A218-1)*monthsPerPeriod+1,0),DATE(YEAR(beginDate),MONTH(beginDate)+(A218-1)*monthsPerPeriod,DAY(beginDate))))))</f>
        <v>51136</v>
      </c>
      <c r="C218" s="37">
        <f t="shared" ref="C218:C281" si="20">IF(A218="","",IF(roundOpt,IF(OR(A218=nPer,payment&gt;ROUND((1+rate)*H217,2)),ROUND((1+rate)*H217,2),payment),IF(OR(A218=nPer,payment&gt;(1+rate)*H217),(1+rate)*H217,payment)))</f>
        <v>596.56768671915654</v>
      </c>
      <c r="D218" s="38"/>
      <c r="E218" s="38"/>
      <c r="F218" s="39">
        <f t="shared" ref="F218:F281" si="21">IF(A218="","",IF(AND(A218=1,pmtType=1),0,IF(roundOpt,ROUND(rate*H217,2),rate*H217)))</f>
        <v>338.48</v>
      </c>
      <c r="G218" s="39">
        <f t="shared" ref="G218:G281" si="22">IF(A218="","",C218-F218+D218)</f>
        <v>258.08768671915652</v>
      </c>
      <c r="H218" s="39">
        <f t="shared" ref="H218:H281" si="23">IF(A218="","",H217-G218)</f>
        <v>67438.666463202768</v>
      </c>
    </row>
    <row r="219" spans="1:8" x14ac:dyDescent="0.25">
      <c r="A219" s="35">
        <f t="shared" si="18"/>
        <v>194</v>
      </c>
      <c r="B219" s="36">
        <f t="shared" si="19"/>
        <v>51167</v>
      </c>
      <c r="C219" s="37">
        <f t="shared" si="20"/>
        <v>596.56768671915654</v>
      </c>
      <c r="D219" s="38"/>
      <c r="E219" s="38"/>
      <c r="F219" s="39">
        <f t="shared" si="21"/>
        <v>337.19</v>
      </c>
      <c r="G219" s="39">
        <f t="shared" si="22"/>
        <v>259.37768671915654</v>
      </c>
      <c r="H219" s="39">
        <f t="shared" si="23"/>
        <v>67179.288776483605</v>
      </c>
    </row>
    <row r="220" spans="1:8" x14ac:dyDescent="0.25">
      <c r="A220" s="35">
        <f t="shared" si="18"/>
        <v>195</v>
      </c>
      <c r="B220" s="36">
        <f t="shared" si="19"/>
        <v>51196</v>
      </c>
      <c r="C220" s="37">
        <f t="shared" si="20"/>
        <v>596.56768671915654</v>
      </c>
      <c r="D220" s="38"/>
      <c r="E220" s="38"/>
      <c r="F220" s="39">
        <f t="shared" si="21"/>
        <v>335.9</v>
      </c>
      <c r="G220" s="39">
        <f t="shared" si="22"/>
        <v>260.66768671915656</v>
      </c>
      <c r="H220" s="39">
        <f t="shared" si="23"/>
        <v>66918.621089764449</v>
      </c>
    </row>
    <row r="221" spans="1:8" x14ac:dyDescent="0.25">
      <c r="A221" s="35">
        <f t="shared" si="18"/>
        <v>196</v>
      </c>
      <c r="B221" s="36">
        <f t="shared" si="19"/>
        <v>51227</v>
      </c>
      <c r="C221" s="37">
        <f t="shared" si="20"/>
        <v>596.56768671915654</v>
      </c>
      <c r="D221" s="38"/>
      <c r="E221" s="38"/>
      <c r="F221" s="39">
        <f t="shared" si="21"/>
        <v>334.59</v>
      </c>
      <c r="G221" s="39">
        <f t="shared" si="22"/>
        <v>261.97768671915657</v>
      </c>
      <c r="H221" s="39">
        <f t="shared" si="23"/>
        <v>66656.643403045295</v>
      </c>
    </row>
    <row r="222" spans="1:8" x14ac:dyDescent="0.25">
      <c r="A222" s="35">
        <f t="shared" si="18"/>
        <v>197</v>
      </c>
      <c r="B222" s="36">
        <f t="shared" si="19"/>
        <v>51257</v>
      </c>
      <c r="C222" s="37">
        <f t="shared" si="20"/>
        <v>596.56768671915654</v>
      </c>
      <c r="D222" s="38"/>
      <c r="E222" s="38"/>
      <c r="F222" s="39">
        <f t="shared" si="21"/>
        <v>333.28</v>
      </c>
      <c r="G222" s="39">
        <f t="shared" si="22"/>
        <v>263.28768671915657</v>
      </c>
      <c r="H222" s="39">
        <f t="shared" si="23"/>
        <v>66393.355716326143</v>
      </c>
    </row>
    <row r="223" spans="1:8" x14ac:dyDescent="0.25">
      <c r="A223" s="35">
        <f t="shared" si="18"/>
        <v>198</v>
      </c>
      <c r="B223" s="36">
        <f t="shared" si="19"/>
        <v>51288</v>
      </c>
      <c r="C223" s="37">
        <f t="shared" si="20"/>
        <v>596.56768671915654</v>
      </c>
      <c r="D223" s="38"/>
      <c r="E223" s="38"/>
      <c r="F223" s="39">
        <f t="shared" si="21"/>
        <v>331.97</v>
      </c>
      <c r="G223" s="39">
        <f t="shared" si="22"/>
        <v>264.59768671915651</v>
      </c>
      <c r="H223" s="39">
        <f t="shared" si="23"/>
        <v>66128.758029606994</v>
      </c>
    </row>
    <row r="224" spans="1:8" x14ac:dyDescent="0.25">
      <c r="A224" s="35">
        <f t="shared" si="18"/>
        <v>199</v>
      </c>
      <c r="B224" s="36">
        <f t="shared" si="19"/>
        <v>51318</v>
      </c>
      <c r="C224" s="37">
        <f t="shared" si="20"/>
        <v>596.56768671915654</v>
      </c>
      <c r="D224" s="38"/>
      <c r="E224" s="38"/>
      <c r="F224" s="39">
        <f t="shared" si="21"/>
        <v>330.64</v>
      </c>
      <c r="G224" s="39">
        <f t="shared" si="22"/>
        <v>265.92768671915655</v>
      </c>
      <c r="H224" s="39">
        <f t="shared" si="23"/>
        <v>65862.830342887843</v>
      </c>
    </row>
    <row r="225" spans="1:8" x14ac:dyDescent="0.25">
      <c r="A225" s="35">
        <f t="shared" si="18"/>
        <v>200</v>
      </c>
      <c r="B225" s="36">
        <f t="shared" si="19"/>
        <v>51349</v>
      </c>
      <c r="C225" s="37">
        <f t="shared" si="20"/>
        <v>596.56768671915654</v>
      </c>
      <c r="D225" s="38"/>
      <c r="E225" s="38"/>
      <c r="F225" s="39">
        <f t="shared" si="21"/>
        <v>329.31</v>
      </c>
      <c r="G225" s="39">
        <f t="shared" si="22"/>
        <v>267.25768671915654</v>
      </c>
      <c r="H225" s="39">
        <f t="shared" si="23"/>
        <v>65595.57265616869</v>
      </c>
    </row>
    <row r="226" spans="1:8" x14ac:dyDescent="0.25">
      <c r="A226" s="35">
        <f t="shared" si="18"/>
        <v>201</v>
      </c>
      <c r="B226" s="36">
        <f t="shared" si="19"/>
        <v>51380</v>
      </c>
      <c r="C226" s="37">
        <f t="shared" si="20"/>
        <v>596.56768671915654</v>
      </c>
      <c r="D226" s="38"/>
      <c r="E226" s="38"/>
      <c r="F226" s="39">
        <f t="shared" si="21"/>
        <v>327.98</v>
      </c>
      <c r="G226" s="39">
        <f t="shared" si="22"/>
        <v>268.58768671915652</v>
      </c>
      <c r="H226" s="39">
        <f t="shared" si="23"/>
        <v>65326.984969449535</v>
      </c>
    </row>
    <row r="227" spans="1:8" x14ac:dyDescent="0.25">
      <c r="A227" s="35">
        <f t="shared" si="18"/>
        <v>202</v>
      </c>
      <c r="B227" s="36">
        <f t="shared" si="19"/>
        <v>51410</v>
      </c>
      <c r="C227" s="37">
        <f t="shared" si="20"/>
        <v>596.56768671915654</v>
      </c>
      <c r="D227" s="38"/>
      <c r="E227" s="38"/>
      <c r="F227" s="39">
        <f t="shared" si="21"/>
        <v>326.63</v>
      </c>
      <c r="G227" s="39">
        <f t="shared" si="22"/>
        <v>269.93768671915655</v>
      </c>
      <c r="H227" s="39">
        <f t="shared" si="23"/>
        <v>65057.047282730382</v>
      </c>
    </row>
    <row r="228" spans="1:8" x14ac:dyDescent="0.25">
      <c r="A228" s="35">
        <f t="shared" si="18"/>
        <v>203</v>
      </c>
      <c r="B228" s="36">
        <f t="shared" si="19"/>
        <v>51441</v>
      </c>
      <c r="C228" s="37">
        <f t="shared" si="20"/>
        <v>596.56768671915654</v>
      </c>
      <c r="D228" s="38"/>
      <c r="E228" s="38"/>
      <c r="F228" s="39">
        <f t="shared" si="21"/>
        <v>325.29000000000002</v>
      </c>
      <c r="G228" s="39">
        <f t="shared" si="22"/>
        <v>271.27768671915652</v>
      </c>
      <c r="H228" s="39">
        <f t="shared" si="23"/>
        <v>64785.769596011225</v>
      </c>
    </row>
    <row r="229" spans="1:8" x14ac:dyDescent="0.25">
      <c r="A229" s="35">
        <f t="shared" si="18"/>
        <v>204</v>
      </c>
      <c r="B229" s="36">
        <f t="shared" si="19"/>
        <v>51471</v>
      </c>
      <c r="C229" s="37">
        <f t="shared" si="20"/>
        <v>596.56768671915654</v>
      </c>
      <c r="D229" s="38"/>
      <c r="E229" s="38"/>
      <c r="F229" s="39">
        <f t="shared" si="21"/>
        <v>323.93</v>
      </c>
      <c r="G229" s="39">
        <f t="shared" si="22"/>
        <v>272.63768671915653</v>
      </c>
      <c r="H229" s="39">
        <f t="shared" si="23"/>
        <v>64513.131909292068</v>
      </c>
    </row>
    <row r="230" spans="1:8" x14ac:dyDescent="0.25">
      <c r="A230" s="35">
        <f t="shared" si="18"/>
        <v>205</v>
      </c>
      <c r="B230" s="36">
        <f t="shared" si="19"/>
        <v>51502</v>
      </c>
      <c r="C230" s="37">
        <f t="shared" si="20"/>
        <v>596.56768671915654</v>
      </c>
      <c r="D230" s="38"/>
      <c r="E230" s="38"/>
      <c r="F230" s="39">
        <f t="shared" si="21"/>
        <v>322.57</v>
      </c>
      <c r="G230" s="39">
        <f t="shared" si="22"/>
        <v>273.99768671915655</v>
      </c>
      <c r="H230" s="39">
        <f t="shared" si="23"/>
        <v>64239.134222572909</v>
      </c>
    </row>
    <row r="231" spans="1:8" x14ac:dyDescent="0.25">
      <c r="A231" s="35">
        <f t="shared" si="18"/>
        <v>206</v>
      </c>
      <c r="B231" s="36">
        <f t="shared" si="19"/>
        <v>51533</v>
      </c>
      <c r="C231" s="37">
        <f t="shared" si="20"/>
        <v>596.56768671915654</v>
      </c>
      <c r="D231" s="38"/>
      <c r="E231" s="38"/>
      <c r="F231" s="39">
        <f t="shared" si="21"/>
        <v>321.2</v>
      </c>
      <c r="G231" s="39">
        <f t="shared" si="22"/>
        <v>275.36768671915655</v>
      </c>
      <c r="H231" s="39">
        <f t="shared" si="23"/>
        <v>63963.766535853756</v>
      </c>
    </row>
    <row r="232" spans="1:8" x14ac:dyDescent="0.25">
      <c r="A232" s="35">
        <f t="shared" si="18"/>
        <v>207</v>
      </c>
      <c r="B232" s="36">
        <f t="shared" si="19"/>
        <v>51561</v>
      </c>
      <c r="C232" s="37">
        <f t="shared" si="20"/>
        <v>596.56768671915654</v>
      </c>
      <c r="D232" s="38"/>
      <c r="E232" s="38"/>
      <c r="F232" s="39">
        <f t="shared" si="21"/>
        <v>319.82</v>
      </c>
      <c r="G232" s="39">
        <f t="shared" si="22"/>
        <v>276.74768671915655</v>
      </c>
      <c r="H232" s="39">
        <f t="shared" si="23"/>
        <v>63687.018849134598</v>
      </c>
    </row>
    <row r="233" spans="1:8" x14ac:dyDescent="0.25">
      <c r="A233" s="35">
        <f t="shared" si="18"/>
        <v>208</v>
      </c>
      <c r="B233" s="36">
        <f t="shared" si="19"/>
        <v>51592</v>
      </c>
      <c r="C233" s="37">
        <f t="shared" si="20"/>
        <v>596.56768671915654</v>
      </c>
      <c r="D233" s="38"/>
      <c r="E233" s="38"/>
      <c r="F233" s="39">
        <f t="shared" si="21"/>
        <v>318.44</v>
      </c>
      <c r="G233" s="39">
        <f t="shared" si="22"/>
        <v>278.12768671915654</v>
      </c>
      <c r="H233" s="39">
        <f t="shared" si="23"/>
        <v>63408.891162415443</v>
      </c>
    </row>
    <row r="234" spans="1:8" x14ac:dyDescent="0.25">
      <c r="A234" s="35">
        <f t="shared" si="18"/>
        <v>209</v>
      </c>
      <c r="B234" s="36">
        <f t="shared" si="19"/>
        <v>51622</v>
      </c>
      <c r="C234" s="37">
        <f t="shared" si="20"/>
        <v>596.56768671915654</v>
      </c>
      <c r="D234" s="38"/>
      <c r="E234" s="38"/>
      <c r="F234" s="39">
        <f t="shared" si="21"/>
        <v>317.04000000000002</v>
      </c>
      <c r="G234" s="39">
        <f t="shared" si="22"/>
        <v>279.52768671915652</v>
      </c>
      <c r="H234" s="39">
        <f t="shared" si="23"/>
        <v>63129.363475696286</v>
      </c>
    </row>
    <row r="235" spans="1:8" x14ac:dyDescent="0.25">
      <c r="A235" s="35">
        <f t="shared" si="18"/>
        <v>210</v>
      </c>
      <c r="B235" s="36">
        <f t="shared" si="19"/>
        <v>51653</v>
      </c>
      <c r="C235" s="37">
        <f t="shared" si="20"/>
        <v>596.56768671915654</v>
      </c>
      <c r="D235" s="38"/>
      <c r="E235" s="38"/>
      <c r="F235" s="39">
        <f t="shared" si="21"/>
        <v>315.64999999999998</v>
      </c>
      <c r="G235" s="39">
        <f t="shared" si="22"/>
        <v>280.91768671915656</v>
      </c>
      <c r="H235" s="39">
        <f t="shared" si="23"/>
        <v>62848.445788977129</v>
      </c>
    </row>
    <row r="236" spans="1:8" x14ac:dyDescent="0.25">
      <c r="A236" s="35">
        <f t="shared" si="18"/>
        <v>211</v>
      </c>
      <c r="B236" s="36">
        <f t="shared" si="19"/>
        <v>51683</v>
      </c>
      <c r="C236" s="37">
        <f t="shared" si="20"/>
        <v>596.56768671915654</v>
      </c>
      <c r="D236" s="38"/>
      <c r="E236" s="38"/>
      <c r="F236" s="39">
        <f t="shared" si="21"/>
        <v>314.24</v>
      </c>
      <c r="G236" s="39">
        <f t="shared" si="22"/>
        <v>282.32768671915653</v>
      </c>
      <c r="H236" s="39">
        <f t="shared" si="23"/>
        <v>62566.118102257969</v>
      </c>
    </row>
    <row r="237" spans="1:8" x14ac:dyDescent="0.25">
      <c r="A237" s="35">
        <f t="shared" si="18"/>
        <v>212</v>
      </c>
      <c r="B237" s="36">
        <f t="shared" si="19"/>
        <v>51714</v>
      </c>
      <c r="C237" s="37">
        <f t="shared" si="20"/>
        <v>596.56768671915654</v>
      </c>
      <c r="D237" s="38"/>
      <c r="E237" s="38"/>
      <c r="F237" s="39">
        <f t="shared" si="21"/>
        <v>312.83</v>
      </c>
      <c r="G237" s="39">
        <f t="shared" si="22"/>
        <v>283.73768671915656</v>
      </c>
      <c r="H237" s="39">
        <f t="shared" si="23"/>
        <v>62282.380415538813</v>
      </c>
    </row>
    <row r="238" spans="1:8" x14ac:dyDescent="0.25">
      <c r="A238" s="35">
        <f t="shared" si="18"/>
        <v>213</v>
      </c>
      <c r="B238" s="36">
        <f t="shared" si="19"/>
        <v>51745</v>
      </c>
      <c r="C238" s="37">
        <f t="shared" si="20"/>
        <v>596.56768671915654</v>
      </c>
      <c r="D238" s="38"/>
      <c r="E238" s="38"/>
      <c r="F238" s="39">
        <f t="shared" si="21"/>
        <v>311.41000000000003</v>
      </c>
      <c r="G238" s="39">
        <f t="shared" si="22"/>
        <v>285.15768671915652</v>
      </c>
      <c r="H238" s="39">
        <f t="shared" si="23"/>
        <v>61997.222728819659</v>
      </c>
    </row>
    <row r="239" spans="1:8" x14ac:dyDescent="0.25">
      <c r="A239" s="35">
        <f t="shared" si="18"/>
        <v>214</v>
      </c>
      <c r="B239" s="36">
        <f t="shared" si="19"/>
        <v>51775</v>
      </c>
      <c r="C239" s="37">
        <f t="shared" si="20"/>
        <v>596.56768671915654</v>
      </c>
      <c r="D239" s="38"/>
      <c r="E239" s="38"/>
      <c r="F239" s="39">
        <f t="shared" si="21"/>
        <v>309.99</v>
      </c>
      <c r="G239" s="39">
        <f t="shared" si="22"/>
        <v>286.57768671915653</v>
      </c>
      <c r="H239" s="39">
        <f t="shared" si="23"/>
        <v>61710.645042100499</v>
      </c>
    </row>
    <row r="240" spans="1:8" x14ac:dyDescent="0.25">
      <c r="A240" s="35">
        <f t="shared" si="18"/>
        <v>215</v>
      </c>
      <c r="B240" s="36">
        <f t="shared" si="19"/>
        <v>51806</v>
      </c>
      <c r="C240" s="37">
        <f t="shared" si="20"/>
        <v>596.56768671915654</v>
      </c>
      <c r="D240" s="38"/>
      <c r="E240" s="38"/>
      <c r="F240" s="39">
        <f t="shared" si="21"/>
        <v>308.55</v>
      </c>
      <c r="G240" s="39">
        <f t="shared" si="22"/>
        <v>288.01768671915653</v>
      </c>
      <c r="H240" s="39">
        <f t="shared" si="23"/>
        <v>61422.627355381344</v>
      </c>
    </row>
    <row r="241" spans="1:8" x14ac:dyDescent="0.25">
      <c r="A241" s="35">
        <f t="shared" si="18"/>
        <v>216</v>
      </c>
      <c r="B241" s="36">
        <f t="shared" si="19"/>
        <v>51836</v>
      </c>
      <c r="C241" s="37">
        <f t="shared" si="20"/>
        <v>596.56768671915654</v>
      </c>
      <c r="D241" s="38"/>
      <c r="E241" s="38"/>
      <c r="F241" s="39">
        <f t="shared" si="21"/>
        <v>307.11</v>
      </c>
      <c r="G241" s="39">
        <f t="shared" si="22"/>
        <v>289.45768671915653</v>
      </c>
      <c r="H241" s="39">
        <f t="shared" si="23"/>
        <v>61133.169668662187</v>
      </c>
    </row>
    <row r="242" spans="1:8" x14ac:dyDescent="0.25">
      <c r="A242" s="35">
        <f t="shared" si="18"/>
        <v>217</v>
      </c>
      <c r="B242" s="36">
        <f t="shared" si="19"/>
        <v>51867</v>
      </c>
      <c r="C242" s="37">
        <f t="shared" si="20"/>
        <v>596.56768671915654</v>
      </c>
      <c r="D242" s="38"/>
      <c r="E242" s="38"/>
      <c r="F242" s="39">
        <f t="shared" si="21"/>
        <v>305.67</v>
      </c>
      <c r="G242" s="39">
        <f t="shared" si="22"/>
        <v>290.89768671915652</v>
      </c>
      <c r="H242" s="39">
        <f t="shared" si="23"/>
        <v>60842.271981943028</v>
      </c>
    </row>
    <row r="243" spans="1:8" x14ac:dyDescent="0.25">
      <c r="A243" s="35">
        <f t="shared" si="18"/>
        <v>218</v>
      </c>
      <c r="B243" s="36">
        <f t="shared" si="19"/>
        <v>51898</v>
      </c>
      <c r="C243" s="37">
        <f t="shared" si="20"/>
        <v>596.56768671915654</v>
      </c>
      <c r="D243" s="38"/>
      <c r="E243" s="38"/>
      <c r="F243" s="39">
        <f t="shared" si="21"/>
        <v>304.20999999999998</v>
      </c>
      <c r="G243" s="39">
        <f t="shared" si="22"/>
        <v>292.35768671915656</v>
      </c>
      <c r="H243" s="39">
        <f t="shared" si="23"/>
        <v>60549.914295223869</v>
      </c>
    </row>
    <row r="244" spans="1:8" x14ac:dyDescent="0.25">
      <c r="A244" s="35">
        <f t="shared" si="18"/>
        <v>219</v>
      </c>
      <c r="B244" s="36">
        <f t="shared" si="19"/>
        <v>51926</v>
      </c>
      <c r="C244" s="37">
        <f t="shared" si="20"/>
        <v>596.56768671915654</v>
      </c>
      <c r="D244" s="38"/>
      <c r="E244" s="38"/>
      <c r="F244" s="39">
        <f t="shared" si="21"/>
        <v>302.75</v>
      </c>
      <c r="G244" s="39">
        <f t="shared" si="22"/>
        <v>293.81768671915654</v>
      </c>
      <c r="H244" s="39">
        <f t="shared" si="23"/>
        <v>60256.096608504711</v>
      </c>
    </row>
    <row r="245" spans="1:8" x14ac:dyDescent="0.25">
      <c r="A245" s="35">
        <f t="shared" si="18"/>
        <v>220</v>
      </c>
      <c r="B245" s="36">
        <f t="shared" si="19"/>
        <v>51957</v>
      </c>
      <c r="C245" s="37">
        <f t="shared" si="20"/>
        <v>596.56768671915654</v>
      </c>
      <c r="D245" s="38"/>
      <c r="E245" s="38"/>
      <c r="F245" s="39">
        <f t="shared" si="21"/>
        <v>301.27999999999997</v>
      </c>
      <c r="G245" s="39">
        <f t="shared" si="22"/>
        <v>295.28768671915657</v>
      </c>
      <c r="H245" s="39">
        <f t="shared" si="23"/>
        <v>59960.808921785552</v>
      </c>
    </row>
    <row r="246" spans="1:8" x14ac:dyDescent="0.25">
      <c r="A246" s="35">
        <f t="shared" si="18"/>
        <v>221</v>
      </c>
      <c r="B246" s="36">
        <f t="shared" si="19"/>
        <v>51987</v>
      </c>
      <c r="C246" s="37">
        <f t="shared" si="20"/>
        <v>596.56768671915654</v>
      </c>
      <c r="D246" s="38"/>
      <c r="E246" s="38"/>
      <c r="F246" s="39">
        <f t="shared" si="21"/>
        <v>299.8</v>
      </c>
      <c r="G246" s="39">
        <f t="shared" si="22"/>
        <v>296.76768671915653</v>
      </c>
      <c r="H246" s="39">
        <f t="shared" si="23"/>
        <v>59664.041235066397</v>
      </c>
    </row>
    <row r="247" spans="1:8" x14ac:dyDescent="0.25">
      <c r="A247" s="35">
        <f t="shared" si="18"/>
        <v>222</v>
      </c>
      <c r="B247" s="36">
        <f t="shared" si="19"/>
        <v>52018</v>
      </c>
      <c r="C247" s="37">
        <f t="shared" si="20"/>
        <v>596.56768671915654</v>
      </c>
      <c r="D247" s="38"/>
      <c r="E247" s="38"/>
      <c r="F247" s="39">
        <f t="shared" si="21"/>
        <v>298.32</v>
      </c>
      <c r="G247" s="39">
        <f t="shared" si="22"/>
        <v>298.24768671915655</v>
      </c>
      <c r="H247" s="39">
        <f t="shared" si="23"/>
        <v>59365.793548347239</v>
      </c>
    </row>
    <row r="248" spans="1:8" x14ac:dyDescent="0.25">
      <c r="A248" s="35">
        <f t="shared" si="18"/>
        <v>223</v>
      </c>
      <c r="B248" s="36">
        <f t="shared" si="19"/>
        <v>52048</v>
      </c>
      <c r="C248" s="37">
        <f t="shared" si="20"/>
        <v>596.56768671915654</v>
      </c>
      <c r="D248" s="38"/>
      <c r="E248" s="38"/>
      <c r="F248" s="39">
        <f t="shared" si="21"/>
        <v>296.83</v>
      </c>
      <c r="G248" s="39">
        <f t="shared" si="22"/>
        <v>299.73768671915656</v>
      </c>
      <c r="H248" s="39">
        <f t="shared" si="23"/>
        <v>59066.055861628083</v>
      </c>
    </row>
    <row r="249" spans="1:8" x14ac:dyDescent="0.25">
      <c r="A249" s="35">
        <f t="shared" si="18"/>
        <v>224</v>
      </c>
      <c r="B249" s="36">
        <f t="shared" si="19"/>
        <v>52079</v>
      </c>
      <c r="C249" s="37">
        <f t="shared" si="20"/>
        <v>596.56768671915654</v>
      </c>
      <c r="D249" s="38"/>
      <c r="E249" s="38"/>
      <c r="F249" s="39">
        <f t="shared" si="21"/>
        <v>295.33</v>
      </c>
      <c r="G249" s="39">
        <f t="shared" si="22"/>
        <v>301.23768671915656</v>
      </c>
      <c r="H249" s="39">
        <f t="shared" si="23"/>
        <v>58764.818174908927</v>
      </c>
    </row>
    <row r="250" spans="1:8" x14ac:dyDescent="0.25">
      <c r="A250" s="35">
        <f t="shared" si="18"/>
        <v>225</v>
      </c>
      <c r="B250" s="36">
        <f t="shared" si="19"/>
        <v>52110</v>
      </c>
      <c r="C250" s="37">
        <f t="shared" si="20"/>
        <v>596.56768671915654</v>
      </c>
      <c r="D250" s="38"/>
      <c r="E250" s="38"/>
      <c r="F250" s="39">
        <f t="shared" si="21"/>
        <v>293.82</v>
      </c>
      <c r="G250" s="39">
        <f t="shared" si="22"/>
        <v>302.74768671915655</v>
      </c>
      <c r="H250" s="39">
        <f t="shared" si="23"/>
        <v>58462.070488189769</v>
      </c>
    </row>
    <row r="251" spans="1:8" x14ac:dyDescent="0.25">
      <c r="A251" s="35">
        <f t="shared" si="18"/>
        <v>226</v>
      </c>
      <c r="B251" s="36">
        <f t="shared" si="19"/>
        <v>52140</v>
      </c>
      <c r="C251" s="37">
        <f t="shared" si="20"/>
        <v>596.56768671915654</v>
      </c>
      <c r="D251" s="38"/>
      <c r="E251" s="38"/>
      <c r="F251" s="39">
        <f t="shared" si="21"/>
        <v>292.31</v>
      </c>
      <c r="G251" s="39">
        <f t="shared" si="22"/>
        <v>304.25768671915654</v>
      </c>
      <c r="H251" s="39">
        <f t="shared" si="23"/>
        <v>58157.812801470609</v>
      </c>
    </row>
    <row r="252" spans="1:8" x14ac:dyDescent="0.25">
      <c r="A252" s="35">
        <f t="shared" si="18"/>
        <v>227</v>
      </c>
      <c r="B252" s="36">
        <f t="shared" si="19"/>
        <v>52171</v>
      </c>
      <c r="C252" s="37">
        <f t="shared" si="20"/>
        <v>596.56768671915654</v>
      </c>
      <c r="D252" s="38"/>
      <c r="E252" s="38"/>
      <c r="F252" s="39">
        <f t="shared" si="21"/>
        <v>290.79000000000002</v>
      </c>
      <c r="G252" s="39">
        <f t="shared" si="22"/>
        <v>305.77768671915652</v>
      </c>
      <c r="H252" s="39">
        <f t="shared" si="23"/>
        <v>57852.035114751452</v>
      </c>
    </row>
    <row r="253" spans="1:8" x14ac:dyDescent="0.25">
      <c r="A253" s="35">
        <f t="shared" si="18"/>
        <v>228</v>
      </c>
      <c r="B253" s="36">
        <f t="shared" si="19"/>
        <v>52201</v>
      </c>
      <c r="C253" s="37">
        <f t="shared" si="20"/>
        <v>596.56768671915654</v>
      </c>
      <c r="D253" s="38"/>
      <c r="E253" s="38"/>
      <c r="F253" s="39">
        <f t="shared" si="21"/>
        <v>289.26</v>
      </c>
      <c r="G253" s="39">
        <f t="shared" si="22"/>
        <v>307.30768671915655</v>
      </c>
      <c r="H253" s="39">
        <f t="shared" si="23"/>
        <v>57544.727428032296</v>
      </c>
    </row>
    <row r="254" spans="1:8" x14ac:dyDescent="0.25">
      <c r="A254" s="35">
        <f t="shared" si="18"/>
        <v>229</v>
      </c>
      <c r="B254" s="36">
        <f t="shared" si="19"/>
        <v>52232</v>
      </c>
      <c r="C254" s="37">
        <f t="shared" si="20"/>
        <v>596.56768671915654</v>
      </c>
      <c r="D254" s="38"/>
      <c r="E254" s="38"/>
      <c r="F254" s="39">
        <f t="shared" si="21"/>
        <v>287.72000000000003</v>
      </c>
      <c r="G254" s="39">
        <f t="shared" si="22"/>
        <v>308.84768671915651</v>
      </c>
      <c r="H254" s="39">
        <f t="shared" si="23"/>
        <v>57235.87974131314</v>
      </c>
    </row>
    <row r="255" spans="1:8" x14ac:dyDescent="0.25">
      <c r="A255" s="35">
        <f t="shared" si="18"/>
        <v>230</v>
      </c>
      <c r="B255" s="36">
        <f t="shared" si="19"/>
        <v>52263</v>
      </c>
      <c r="C255" s="37">
        <f t="shared" si="20"/>
        <v>596.56768671915654</v>
      </c>
      <c r="D255" s="38"/>
      <c r="E255" s="38"/>
      <c r="F255" s="39">
        <f t="shared" si="21"/>
        <v>286.18</v>
      </c>
      <c r="G255" s="39">
        <f t="shared" si="22"/>
        <v>310.38768671915653</v>
      </c>
      <c r="H255" s="39">
        <f t="shared" si="23"/>
        <v>56925.492054593982</v>
      </c>
    </row>
    <row r="256" spans="1:8" x14ac:dyDescent="0.25">
      <c r="A256" s="35">
        <f t="shared" si="18"/>
        <v>231</v>
      </c>
      <c r="B256" s="36">
        <f t="shared" si="19"/>
        <v>52291</v>
      </c>
      <c r="C256" s="37">
        <f t="shared" si="20"/>
        <v>596.56768671915654</v>
      </c>
      <c r="D256" s="38"/>
      <c r="E256" s="38"/>
      <c r="F256" s="39">
        <f t="shared" si="21"/>
        <v>284.63</v>
      </c>
      <c r="G256" s="39">
        <f t="shared" si="22"/>
        <v>311.93768671915655</v>
      </c>
      <c r="H256" s="39">
        <f t="shared" si="23"/>
        <v>56613.554367874829</v>
      </c>
    </row>
    <row r="257" spans="1:8" x14ac:dyDescent="0.25">
      <c r="A257" s="35">
        <f t="shared" si="18"/>
        <v>232</v>
      </c>
      <c r="B257" s="36">
        <f t="shared" si="19"/>
        <v>52322</v>
      </c>
      <c r="C257" s="37">
        <f t="shared" si="20"/>
        <v>596.56768671915654</v>
      </c>
      <c r="D257" s="38"/>
      <c r="E257" s="38"/>
      <c r="F257" s="39">
        <f t="shared" si="21"/>
        <v>283.07</v>
      </c>
      <c r="G257" s="39">
        <f t="shared" si="22"/>
        <v>313.49768671915655</v>
      </c>
      <c r="H257" s="39">
        <f t="shared" si="23"/>
        <v>56300.056681155671</v>
      </c>
    </row>
    <row r="258" spans="1:8" x14ac:dyDescent="0.25">
      <c r="A258" s="35">
        <f t="shared" si="18"/>
        <v>233</v>
      </c>
      <c r="B258" s="36">
        <f t="shared" si="19"/>
        <v>52352</v>
      </c>
      <c r="C258" s="37">
        <f t="shared" si="20"/>
        <v>596.56768671915654</v>
      </c>
      <c r="D258" s="38"/>
      <c r="E258" s="38"/>
      <c r="F258" s="39">
        <f t="shared" si="21"/>
        <v>281.5</v>
      </c>
      <c r="G258" s="39">
        <f t="shared" si="22"/>
        <v>315.06768671915654</v>
      </c>
      <c r="H258" s="39">
        <f t="shared" si="23"/>
        <v>55984.988994436513</v>
      </c>
    </row>
    <row r="259" spans="1:8" x14ac:dyDescent="0.25">
      <c r="A259" s="35">
        <f t="shared" si="18"/>
        <v>234</v>
      </c>
      <c r="B259" s="36">
        <f t="shared" si="19"/>
        <v>52383</v>
      </c>
      <c r="C259" s="37">
        <f t="shared" si="20"/>
        <v>596.56768671915654</v>
      </c>
      <c r="D259" s="38"/>
      <c r="E259" s="38"/>
      <c r="F259" s="39">
        <f t="shared" si="21"/>
        <v>279.92</v>
      </c>
      <c r="G259" s="39">
        <f t="shared" si="22"/>
        <v>316.64768671915652</v>
      </c>
      <c r="H259" s="39">
        <f t="shared" si="23"/>
        <v>55668.341307717354</v>
      </c>
    </row>
    <row r="260" spans="1:8" x14ac:dyDescent="0.25">
      <c r="A260" s="35">
        <f t="shared" si="18"/>
        <v>235</v>
      </c>
      <c r="B260" s="36">
        <f t="shared" si="19"/>
        <v>52413</v>
      </c>
      <c r="C260" s="37">
        <f t="shared" si="20"/>
        <v>596.56768671915654</v>
      </c>
      <c r="D260" s="38"/>
      <c r="E260" s="38"/>
      <c r="F260" s="39">
        <f t="shared" si="21"/>
        <v>278.33999999999997</v>
      </c>
      <c r="G260" s="39">
        <f t="shared" si="22"/>
        <v>318.22768671915657</v>
      </c>
      <c r="H260" s="39">
        <f t="shared" si="23"/>
        <v>55350.1136209982</v>
      </c>
    </row>
    <row r="261" spans="1:8" x14ac:dyDescent="0.25">
      <c r="A261" s="35">
        <f t="shared" si="18"/>
        <v>236</v>
      </c>
      <c r="B261" s="36">
        <f t="shared" si="19"/>
        <v>52444</v>
      </c>
      <c r="C261" s="37">
        <f t="shared" si="20"/>
        <v>596.56768671915654</v>
      </c>
      <c r="D261" s="38"/>
      <c r="E261" s="38"/>
      <c r="F261" s="39">
        <f t="shared" si="21"/>
        <v>276.75</v>
      </c>
      <c r="G261" s="39">
        <f t="shared" si="22"/>
        <v>319.81768671915654</v>
      </c>
      <c r="H261" s="39">
        <f t="shared" si="23"/>
        <v>55030.295934279042</v>
      </c>
    </row>
    <row r="262" spans="1:8" x14ac:dyDescent="0.25">
      <c r="A262" s="35">
        <f t="shared" si="18"/>
        <v>237</v>
      </c>
      <c r="B262" s="36">
        <f t="shared" si="19"/>
        <v>52475</v>
      </c>
      <c r="C262" s="37">
        <f t="shared" si="20"/>
        <v>596.56768671915654</v>
      </c>
      <c r="D262" s="38"/>
      <c r="E262" s="38"/>
      <c r="F262" s="39">
        <f t="shared" si="21"/>
        <v>275.14999999999998</v>
      </c>
      <c r="G262" s="39">
        <f t="shared" si="22"/>
        <v>321.41768671915656</v>
      </c>
      <c r="H262" s="39">
        <f t="shared" si="23"/>
        <v>54708.878247559885</v>
      </c>
    </row>
    <row r="263" spans="1:8" x14ac:dyDescent="0.25">
      <c r="A263" s="35">
        <f t="shared" si="18"/>
        <v>238</v>
      </c>
      <c r="B263" s="36">
        <f t="shared" si="19"/>
        <v>52505</v>
      </c>
      <c r="C263" s="37">
        <f t="shared" si="20"/>
        <v>596.56768671915654</v>
      </c>
      <c r="D263" s="38"/>
      <c r="E263" s="38"/>
      <c r="F263" s="39">
        <f t="shared" si="21"/>
        <v>273.54000000000002</v>
      </c>
      <c r="G263" s="39">
        <f t="shared" si="22"/>
        <v>323.02768671915652</v>
      </c>
      <c r="H263" s="39">
        <f t="shared" si="23"/>
        <v>54385.850560840729</v>
      </c>
    </row>
    <row r="264" spans="1:8" x14ac:dyDescent="0.25">
      <c r="A264" s="35">
        <f t="shared" si="18"/>
        <v>239</v>
      </c>
      <c r="B264" s="36">
        <f t="shared" si="19"/>
        <v>52536</v>
      </c>
      <c r="C264" s="37">
        <f t="shared" si="20"/>
        <v>596.56768671915654</v>
      </c>
      <c r="D264" s="38"/>
      <c r="E264" s="38"/>
      <c r="F264" s="39">
        <f t="shared" si="21"/>
        <v>271.93</v>
      </c>
      <c r="G264" s="39">
        <f t="shared" si="22"/>
        <v>324.63768671915653</v>
      </c>
      <c r="H264" s="39">
        <f t="shared" si="23"/>
        <v>54061.212874121571</v>
      </c>
    </row>
    <row r="265" spans="1:8" x14ac:dyDescent="0.25">
      <c r="A265" s="35">
        <f t="shared" si="18"/>
        <v>240</v>
      </c>
      <c r="B265" s="36">
        <f t="shared" si="19"/>
        <v>52566</v>
      </c>
      <c r="C265" s="37">
        <f t="shared" si="20"/>
        <v>596.56768671915654</v>
      </c>
      <c r="D265" s="38"/>
      <c r="E265" s="38"/>
      <c r="F265" s="39">
        <f t="shared" si="21"/>
        <v>270.31</v>
      </c>
      <c r="G265" s="39">
        <f t="shared" si="22"/>
        <v>326.25768671915654</v>
      </c>
      <c r="H265" s="39">
        <f t="shared" si="23"/>
        <v>53734.955187402411</v>
      </c>
    </row>
    <row r="266" spans="1:8" x14ac:dyDescent="0.25">
      <c r="A266" s="35">
        <f t="shared" si="18"/>
        <v>241</v>
      </c>
      <c r="B266" s="36">
        <f t="shared" si="19"/>
        <v>52597</v>
      </c>
      <c r="C266" s="37">
        <f t="shared" si="20"/>
        <v>596.56768671915654</v>
      </c>
      <c r="D266" s="38"/>
      <c r="E266" s="38"/>
      <c r="F266" s="39">
        <f t="shared" si="21"/>
        <v>268.67</v>
      </c>
      <c r="G266" s="39">
        <f t="shared" si="22"/>
        <v>327.89768671915652</v>
      </c>
      <c r="H266" s="39">
        <f t="shared" si="23"/>
        <v>53407.057500683251</v>
      </c>
    </row>
    <row r="267" spans="1:8" x14ac:dyDescent="0.25">
      <c r="A267" s="35">
        <f t="shared" si="18"/>
        <v>242</v>
      </c>
      <c r="B267" s="36">
        <f t="shared" si="19"/>
        <v>52628</v>
      </c>
      <c r="C267" s="37">
        <f t="shared" si="20"/>
        <v>596.56768671915654</v>
      </c>
      <c r="D267" s="38"/>
      <c r="E267" s="38"/>
      <c r="F267" s="39">
        <f t="shared" si="21"/>
        <v>267.04000000000002</v>
      </c>
      <c r="G267" s="39">
        <f t="shared" si="22"/>
        <v>329.52768671915652</v>
      </c>
      <c r="H267" s="39">
        <f t="shared" si="23"/>
        <v>53077.529813964095</v>
      </c>
    </row>
    <row r="268" spans="1:8" x14ac:dyDescent="0.25">
      <c r="A268" s="35">
        <f t="shared" si="18"/>
        <v>243</v>
      </c>
      <c r="B268" s="36">
        <f t="shared" si="19"/>
        <v>52657</v>
      </c>
      <c r="C268" s="37">
        <f t="shared" si="20"/>
        <v>596.56768671915654</v>
      </c>
      <c r="D268" s="38"/>
      <c r="E268" s="38"/>
      <c r="F268" s="39">
        <f t="shared" si="21"/>
        <v>265.39</v>
      </c>
      <c r="G268" s="39">
        <f t="shared" si="22"/>
        <v>331.17768671915655</v>
      </c>
      <c r="H268" s="39">
        <f t="shared" si="23"/>
        <v>52746.352127244936</v>
      </c>
    </row>
    <row r="269" spans="1:8" x14ac:dyDescent="0.25">
      <c r="A269" s="35">
        <f t="shared" si="18"/>
        <v>244</v>
      </c>
      <c r="B269" s="36">
        <f t="shared" si="19"/>
        <v>52688</v>
      </c>
      <c r="C269" s="37">
        <f t="shared" si="20"/>
        <v>596.56768671915654</v>
      </c>
      <c r="D269" s="38"/>
      <c r="E269" s="38"/>
      <c r="F269" s="39">
        <f t="shared" si="21"/>
        <v>263.73</v>
      </c>
      <c r="G269" s="39">
        <f t="shared" si="22"/>
        <v>332.83768671915652</v>
      </c>
      <c r="H269" s="39">
        <f t="shared" si="23"/>
        <v>52413.514440525782</v>
      </c>
    </row>
    <row r="270" spans="1:8" x14ac:dyDescent="0.25">
      <c r="A270" s="35">
        <f t="shared" si="18"/>
        <v>245</v>
      </c>
      <c r="B270" s="36">
        <f t="shared" si="19"/>
        <v>52718</v>
      </c>
      <c r="C270" s="37">
        <f t="shared" si="20"/>
        <v>596.56768671915654</v>
      </c>
      <c r="D270" s="38"/>
      <c r="E270" s="38"/>
      <c r="F270" s="39">
        <f t="shared" si="21"/>
        <v>262.07</v>
      </c>
      <c r="G270" s="39">
        <f t="shared" si="22"/>
        <v>334.49768671915655</v>
      </c>
      <c r="H270" s="39">
        <f t="shared" si="23"/>
        <v>52079.016753806623</v>
      </c>
    </row>
    <row r="271" spans="1:8" x14ac:dyDescent="0.25">
      <c r="A271" s="35">
        <f t="shared" si="18"/>
        <v>246</v>
      </c>
      <c r="B271" s="36">
        <f t="shared" si="19"/>
        <v>52749</v>
      </c>
      <c r="C271" s="37">
        <f t="shared" si="20"/>
        <v>596.56768671915654</v>
      </c>
      <c r="D271" s="38"/>
      <c r="E271" s="38"/>
      <c r="F271" s="39">
        <f t="shared" si="21"/>
        <v>260.39999999999998</v>
      </c>
      <c r="G271" s="39">
        <f t="shared" si="22"/>
        <v>336.16768671915656</v>
      </c>
      <c r="H271" s="39">
        <f t="shared" si="23"/>
        <v>51742.849067087467</v>
      </c>
    </row>
    <row r="272" spans="1:8" x14ac:dyDescent="0.25">
      <c r="A272" s="35">
        <f t="shared" si="18"/>
        <v>247</v>
      </c>
      <c r="B272" s="36">
        <f t="shared" si="19"/>
        <v>52779</v>
      </c>
      <c r="C272" s="37">
        <f t="shared" si="20"/>
        <v>596.56768671915654</v>
      </c>
      <c r="D272" s="38"/>
      <c r="E272" s="38"/>
      <c r="F272" s="39">
        <f t="shared" si="21"/>
        <v>258.70999999999998</v>
      </c>
      <c r="G272" s="39">
        <f t="shared" si="22"/>
        <v>337.85768671915656</v>
      </c>
      <c r="H272" s="39">
        <f t="shared" si="23"/>
        <v>51404.991380368308</v>
      </c>
    </row>
    <row r="273" spans="1:8" x14ac:dyDescent="0.25">
      <c r="A273" s="35">
        <f t="shared" si="18"/>
        <v>248</v>
      </c>
      <c r="B273" s="36">
        <f t="shared" si="19"/>
        <v>52810</v>
      </c>
      <c r="C273" s="37">
        <f t="shared" si="20"/>
        <v>596.56768671915654</v>
      </c>
      <c r="D273" s="38"/>
      <c r="E273" s="38"/>
      <c r="F273" s="39">
        <f t="shared" si="21"/>
        <v>257.02</v>
      </c>
      <c r="G273" s="39">
        <f t="shared" si="22"/>
        <v>339.54768671915656</v>
      </c>
      <c r="H273" s="39">
        <f t="shared" si="23"/>
        <v>51065.443693649155</v>
      </c>
    </row>
    <row r="274" spans="1:8" x14ac:dyDescent="0.25">
      <c r="A274" s="35">
        <f t="shared" si="18"/>
        <v>249</v>
      </c>
      <c r="B274" s="36">
        <f t="shared" si="19"/>
        <v>52841</v>
      </c>
      <c r="C274" s="37">
        <f t="shared" si="20"/>
        <v>596.56768671915654</v>
      </c>
      <c r="D274" s="38"/>
      <c r="E274" s="38"/>
      <c r="F274" s="39">
        <f t="shared" si="21"/>
        <v>255.33</v>
      </c>
      <c r="G274" s="39">
        <f t="shared" si="22"/>
        <v>341.2376867191565</v>
      </c>
      <c r="H274" s="39">
        <f t="shared" si="23"/>
        <v>50724.206006929999</v>
      </c>
    </row>
    <row r="275" spans="1:8" x14ac:dyDescent="0.25">
      <c r="A275" s="35">
        <f t="shared" si="18"/>
        <v>250</v>
      </c>
      <c r="B275" s="36">
        <f t="shared" si="19"/>
        <v>52871</v>
      </c>
      <c r="C275" s="37">
        <f t="shared" si="20"/>
        <v>596.56768671915654</v>
      </c>
      <c r="D275" s="38"/>
      <c r="E275" s="38"/>
      <c r="F275" s="39">
        <f t="shared" si="21"/>
        <v>253.62</v>
      </c>
      <c r="G275" s="39">
        <f t="shared" si="22"/>
        <v>342.94768671915654</v>
      </c>
      <c r="H275" s="39">
        <f t="shared" si="23"/>
        <v>50381.258320210844</v>
      </c>
    </row>
    <row r="276" spans="1:8" x14ac:dyDescent="0.25">
      <c r="A276" s="35">
        <f t="shared" si="18"/>
        <v>251</v>
      </c>
      <c r="B276" s="36">
        <f t="shared" si="19"/>
        <v>52902</v>
      </c>
      <c r="C276" s="37">
        <f t="shared" si="20"/>
        <v>596.56768671915654</v>
      </c>
      <c r="D276" s="38"/>
      <c r="E276" s="38"/>
      <c r="F276" s="39">
        <f t="shared" si="21"/>
        <v>251.91</v>
      </c>
      <c r="G276" s="39">
        <f t="shared" si="22"/>
        <v>344.65768671915657</v>
      </c>
      <c r="H276" s="39">
        <f t="shared" si="23"/>
        <v>50036.600633491689</v>
      </c>
    </row>
    <row r="277" spans="1:8" x14ac:dyDescent="0.25">
      <c r="A277" s="35">
        <f t="shared" si="18"/>
        <v>252</v>
      </c>
      <c r="B277" s="36">
        <f t="shared" si="19"/>
        <v>52932</v>
      </c>
      <c r="C277" s="37">
        <f t="shared" si="20"/>
        <v>596.56768671915654</v>
      </c>
      <c r="D277" s="38"/>
      <c r="E277" s="38"/>
      <c r="F277" s="39">
        <f t="shared" si="21"/>
        <v>250.18</v>
      </c>
      <c r="G277" s="39">
        <f t="shared" si="22"/>
        <v>346.38768671915653</v>
      </c>
      <c r="H277" s="39">
        <f t="shared" si="23"/>
        <v>49690.212946772532</v>
      </c>
    </row>
    <row r="278" spans="1:8" x14ac:dyDescent="0.25">
      <c r="A278" s="35">
        <f t="shared" si="18"/>
        <v>253</v>
      </c>
      <c r="B278" s="36">
        <f t="shared" si="19"/>
        <v>52963</v>
      </c>
      <c r="C278" s="37">
        <f t="shared" si="20"/>
        <v>596.56768671915654</v>
      </c>
      <c r="D278" s="38"/>
      <c r="E278" s="38"/>
      <c r="F278" s="39">
        <f t="shared" si="21"/>
        <v>248.45</v>
      </c>
      <c r="G278" s="39">
        <f t="shared" si="22"/>
        <v>348.11768671915655</v>
      </c>
      <c r="H278" s="39">
        <f t="shared" si="23"/>
        <v>49342.095260053378</v>
      </c>
    </row>
    <row r="279" spans="1:8" x14ac:dyDescent="0.25">
      <c r="A279" s="35">
        <f t="shared" si="18"/>
        <v>254</v>
      </c>
      <c r="B279" s="36">
        <f t="shared" si="19"/>
        <v>52994</v>
      </c>
      <c r="C279" s="37">
        <f t="shared" si="20"/>
        <v>596.56768671915654</v>
      </c>
      <c r="D279" s="38"/>
      <c r="E279" s="38"/>
      <c r="F279" s="39">
        <f t="shared" si="21"/>
        <v>246.71</v>
      </c>
      <c r="G279" s="39">
        <f t="shared" si="22"/>
        <v>349.8576867191565</v>
      </c>
      <c r="H279" s="39">
        <f t="shared" si="23"/>
        <v>48992.23757333422</v>
      </c>
    </row>
    <row r="280" spans="1:8" x14ac:dyDescent="0.25">
      <c r="A280" s="35">
        <f t="shared" si="18"/>
        <v>255</v>
      </c>
      <c r="B280" s="36">
        <f t="shared" si="19"/>
        <v>53022</v>
      </c>
      <c r="C280" s="37">
        <f t="shared" si="20"/>
        <v>596.56768671915654</v>
      </c>
      <c r="D280" s="38"/>
      <c r="E280" s="38"/>
      <c r="F280" s="39">
        <f t="shared" si="21"/>
        <v>244.96</v>
      </c>
      <c r="G280" s="39">
        <f t="shared" si="22"/>
        <v>351.6076867191565</v>
      </c>
      <c r="H280" s="39">
        <f t="shared" si="23"/>
        <v>48640.629886615061</v>
      </c>
    </row>
    <row r="281" spans="1:8" x14ac:dyDescent="0.25">
      <c r="A281" s="35">
        <f t="shared" si="18"/>
        <v>256</v>
      </c>
      <c r="B281" s="36">
        <f t="shared" si="19"/>
        <v>53053</v>
      </c>
      <c r="C281" s="37">
        <f t="shared" si="20"/>
        <v>596.56768671915654</v>
      </c>
      <c r="D281" s="38"/>
      <c r="E281" s="38"/>
      <c r="F281" s="39">
        <f t="shared" si="21"/>
        <v>243.2</v>
      </c>
      <c r="G281" s="39">
        <f t="shared" si="22"/>
        <v>353.36768671915655</v>
      </c>
      <c r="H281" s="39">
        <f t="shared" si="23"/>
        <v>48287.262199895908</v>
      </c>
    </row>
    <row r="282" spans="1:8" x14ac:dyDescent="0.25">
      <c r="A282" s="35">
        <f t="shared" ref="A282:A345" si="24">IF(H281="","",IF(roundOpt,IF(OR(A281&gt;=nPer,ROUND(H281,2)&lt;=0),"",A281+1),IF(OR(A281&gt;=nPer,H281&lt;=0),"",A281+1)))</f>
        <v>257</v>
      </c>
      <c r="B282" s="36">
        <f t="shared" ref="B282:B345" si="25">IF(A282="","",IF(OR(periods_per_year=26,periods_per_year=52),IF(periods_per_year=26,IF(A282=1,beginDate,B281+14),IF(periods_per_year=52,IF(A282=1,beginDate,B281+7),"n/a")),IF(periods_per_year=24,DATE(YEAR(beginDate),MONTH(beginDate)+(A282-1)/2+IF(AND(DAY(beginDate)&gt;=15,MOD(A282,2)=0),1,0),IF(MOD(A282,2)=0,IF(DAY(beginDate)&gt;=15,DAY(beginDate)-14,DAY(beginDate)+14),DAY(beginDate))),IF(DAY(DATE(YEAR(beginDate),MONTH(beginDate)+(A282-1)*monthsPerPeriod,DAY(beginDate)))&lt;&gt;DAY(beginDate),DATE(YEAR(beginDate),MONTH(beginDate)+(A282-1)*monthsPerPeriod+1,0),DATE(YEAR(beginDate),MONTH(beginDate)+(A282-1)*monthsPerPeriod,DAY(beginDate))))))</f>
        <v>53083</v>
      </c>
      <c r="C282" s="37">
        <f t="shared" ref="C282:C345" si="26">IF(A282="","",IF(roundOpt,IF(OR(A282=nPer,payment&gt;ROUND((1+rate)*H281,2)),ROUND((1+rate)*H281,2),payment),IF(OR(A282=nPer,payment&gt;(1+rate)*H281),(1+rate)*H281,payment)))</f>
        <v>596.56768671915654</v>
      </c>
      <c r="D282" s="38"/>
      <c r="E282" s="38"/>
      <c r="F282" s="39">
        <f t="shared" ref="F282:F345" si="27">IF(A282="","",IF(AND(A282=1,pmtType=1),0,IF(roundOpt,ROUND(rate*H281,2),rate*H281)))</f>
        <v>241.44</v>
      </c>
      <c r="G282" s="39">
        <f t="shared" ref="G282:G345" si="28">IF(A282="","",C282-F282+D282)</f>
        <v>355.12768671915654</v>
      </c>
      <c r="H282" s="39">
        <f t="shared" ref="H282:H345" si="29">IF(A282="","",H281-G282)</f>
        <v>47932.134513176752</v>
      </c>
    </row>
    <row r="283" spans="1:8" x14ac:dyDescent="0.25">
      <c r="A283" s="35">
        <f t="shared" si="24"/>
        <v>258</v>
      </c>
      <c r="B283" s="36">
        <f t="shared" si="25"/>
        <v>53114</v>
      </c>
      <c r="C283" s="37">
        <f t="shared" si="26"/>
        <v>596.56768671915654</v>
      </c>
      <c r="D283" s="38"/>
      <c r="E283" s="38"/>
      <c r="F283" s="39">
        <f t="shared" si="27"/>
        <v>239.66</v>
      </c>
      <c r="G283" s="39">
        <f t="shared" si="28"/>
        <v>356.90768671915657</v>
      </c>
      <c r="H283" s="39">
        <f t="shared" si="29"/>
        <v>47575.226826457598</v>
      </c>
    </row>
    <row r="284" spans="1:8" x14ac:dyDescent="0.25">
      <c r="A284" s="35">
        <f t="shared" si="24"/>
        <v>259</v>
      </c>
      <c r="B284" s="36">
        <f t="shared" si="25"/>
        <v>53144</v>
      </c>
      <c r="C284" s="37">
        <f t="shared" si="26"/>
        <v>596.56768671915654</v>
      </c>
      <c r="D284" s="38"/>
      <c r="E284" s="38"/>
      <c r="F284" s="39">
        <f t="shared" si="27"/>
        <v>237.88</v>
      </c>
      <c r="G284" s="39">
        <f t="shared" si="28"/>
        <v>358.68768671915655</v>
      </c>
      <c r="H284" s="39">
        <f t="shared" si="29"/>
        <v>47216.539139738445</v>
      </c>
    </row>
    <row r="285" spans="1:8" x14ac:dyDescent="0.25">
      <c r="A285" s="35">
        <f t="shared" si="24"/>
        <v>260</v>
      </c>
      <c r="B285" s="36">
        <f t="shared" si="25"/>
        <v>53175</v>
      </c>
      <c r="C285" s="37">
        <f t="shared" si="26"/>
        <v>596.56768671915654</v>
      </c>
      <c r="D285" s="38"/>
      <c r="E285" s="38"/>
      <c r="F285" s="39">
        <f t="shared" si="27"/>
        <v>236.08</v>
      </c>
      <c r="G285" s="39">
        <f t="shared" si="28"/>
        <v>360.4876867191565</v>
      </c>
      <c r="H285" s="39">
        <f t="shared" si="29"/>
        <v>46856.051453019289</v>
      </c>
    </row>
    <row r="286" spans="1:8" x14ac:dyDescent="0.25">
      <c r="A286" s="35">
        <f t="shared" si="24"/>
        <v>261</v>
      </c>
      <c r="B286" s="36">
        <f t="shared" si="25"/>
        <v>53206</v>
      </c>
      <c r="C286" s="37">
        <f t="shared" si="26"/>
        <v>596.56768671915654</v>
      </c>
      <c r="D286" s="38"/>
      <c r="E286" s="38"/>
      <c r="F286" s="39">
        <f t="shared" si="27"/>
        <v>234.28</v>
      </c>
      <c r="G286" s="39">
        <f t="shared" si="28"/>
        <v>362.28768671915657</v>
      </c>
      <c r="H286" s="39">
        <f t="shared" si="29"/>
        <v>46493.76376630013</v>
      </c>
    </row>
    <row r="287" spans="1:8" x14ac:dyDescent="0.25">
      <c r="A287" s="35">
        <f t="shared" si="24"/>
        <v>262</v>
      </c>
      <c r="B287" s="36">
        <f t="shared" si="25"/>
        <v>53236</v>
      </c>
      <c r="C287" s="37">
        <f t="shared" si="26"/>
        <v>596.56768671915654</v>
      </c>
      <c r="D287" s="38"/>
      <c r="E287" s="38"/>
      <c r="F287" s="39">
        <f t="shared" si="27"/>
        <v>232.47</v>
      </c>
      <c r="G287" s="39">
        <f t="shared" si="28"/>
        <v>364.09768671915651</v>
      </c>
      <c r="H287" s="39">
        <f t="shared" si="29"/>
        <v>46129.666079580973</v>
      </c>
    </row>
    <row r="288" spans="1:8" x14ac:dyDescent="0.25">
      <c r="A288" s="35">
        <f t="shared" si="24"/>
        <v>263</v>
      </c>
      <c r="B288" s="36">
        <f t="shared" si="25"/>
        <v>53267</v>
      </c>
      <c r="C288" s="37">
        <f t="shared" si="26"/>
        <v>596.56768671915654</v>
      </c>
      <c r="D288" s="38"/>
      <c r="E288" s="38"/>
      <c r="F288" s="39">
        <f t="shared" si="27"/>
        <v>230.65</v>
      </c>
      <c r="G288" s="39">
        <f t="shared" si="28"/>
        <v>365.91768671915656</v>
      </c>
      <c r="H288" s="39">
        <f t="shared" si="29"/>
        <v>45763.748392861817</v>
      </c>
    </row>
    <row r="289" spans="1:8" x14ac:dyDescent="0.25">
      <c r="A289" s="35">
        <f t="shared" si="24"/>
        <v>264</v>
      </c>
      <c r="B289" s="36">
        <f t="shared" si="25"/>
        <v>53297</v>
      </c>
      <c r="C289" s="37">
        <f t="shared" si="26"/>
        <v>596.56768671915654</v>
      </c>
      <c r="D289" s="38"/>
      <c r="E289" s="38"/>
      <c r="F289" s="39">
        <f t="shared" si="27"/>
        <v>228.82</v>
      </c>
      <c r="G289" s="39">
        <f t="shared" si="28"/>
        <v>367.74768671915655</v>
      </c>
      <c r="H289" s="39">
        <f t="shared" si="29"/>
        <v>45396.000706142659</v>
      </c>
    </row>
    <row r="290" spans="1:8" x14ac:dyDescent="0.25">
      <c r="A290" s="35">
        <f t="shared" si="24"/>
        <v>265</v>
      </c>
      <c r="B290" s="36">
        <f t="shared" si="25"/>
        <v>53328</v>
      </c>
      <c r="C290" s="37">
        <f t="shared" si="26"/>
        <v>596.56768671915654</v>
      </c>
      <c r="D290" s="38"/>
      <c r="E290" s="38"/>
      <c r="F290" s="39">
        <f t="shared" si="27"/>
        <v>226.98</v>
      </c>
      <c r="G290" s="39">
        <f t="shared" si="28"/>
        <v>369.58768671915652</v>
      </c>
      <c r="H290" s="39">
        <f t="shared" si="29"/>
        <v>45026.413019423504</v>
      </c>
    </row>
    <row r="291" spans="1:8" x14ac:dyDescent="0.25">
      <c r="A291" s="35">
        <f t="shared" si="24"/>
        <v>266</v>
      </c>
      <c r="B291" s="36">
        <f t="shared" si="25"/>
        <v>53359</v>
      </c>
      <c r="C291" s="37">
        <f t="shared" si="26"/>
        <v>596.56768671915654</v>
      </c>
      <c r="D291" s="38"/>
      <c r="E291" s="38"/>
      <c r="F291" s="39">
        <f t="shared" si="27"/>
        <v>225.13</v>
      </c>
      <c r="G291" s="39">
        <f t="shared" si="28"/>
        <v>371.43768671915655</v>
      </c>
      <c r="H291" s="39">
        <f t="shared" si="29"/>
        <v>44654.975332704351</v>
      </c>
    </row>
    <row r="292" spans="1:8" x14ac:dyDescent="0.25">
      <c r="A292" s="35">
        <f t="shared" si="24"/>
        <v>267</v>
      </c>
      <c r="B292" s="36">
        <f t="shared" si="25"/>
        <v>53387</v>
      </c>
      <c r="C292" s="37">
        <f t="shared" si="26"/>
        <v>596.56768671915654</v>
      </c>
      <c r="D292" s="38"/>
      <c r="E292" s="38"/>
      <c r="F292" s="39">
        <f t="shared" si="27"/>
        <v>223.27</v>
      </c>
      <c r="G292" s="39">
        <f t="shared" si="28"/>
        <v>373.29768671915656</v>
      </c>
      <c r="H292" s="39">
        <f t="shared" si="29"/>
        <v>44281.677645985197</v>
      </c>
    </row>
    <row r="293" spans="1:8" x14ac:dyDescent="0.25">
      <c r="A293" s="35">
        <f t="shared" si="24"/>
        <v>268</v>
      </c>
      <c r="B293" s="36">
        <f t="shared" si="25"/>
        <v>53418</v>
      </c>
      <c r="C293" s="37">
        <f t="shared" si="26"/>
        <v>596.56768671915654</v>
      </c>
      <c r="D293" s="38"/>
      <c r="E293" s="38"/>
      <c r="F293" s="39">
        <f t="shared" si="27"/>
        <v>221.41</v>
      </c>
      <c r="G293" s="39">
        <f t="shared" si="28"/>
        <v>375.15768671915657</v>
      </c>
      <c r="H293" s="39">
        <f t="shared" si="29"/>
        <v>43906.519959266043</v>
      </c>
    </row>
    <row r="294" spans="1:8" x14ac:dyDescent="0.25">
      <c r="A294" s="35">
        <f t="shared" si="24"/>
        <v>269</v>
      </c>
      <c r="B294" s="36">
        <f t="shared" si="25"/>
        <v>53448</v>
      </c>
      <c r="C294" s="37">
        <f t="shared" si="26"/>
        <v>596.56768671915654</v>
      </c>
      <c r="D294" s="38"/>
      <c r="E294" s="38"/>
      <c r="F294" s="39">
        <f t="shared" si="27"/>
        <v>219.53</v>
      </c>
      <c r="G294" s="39">
        <f t="shared" si="28"/>
        <v>377.03768671915657</v>
      </c>
      <c r="H294" s="39">
        <f t="shared" si="29"/>
        <v>43529.482272546884</v>
      </c>
    </row>
    <row r="295" spans="1:8" x14ac:dyDescent="0.25">
      <c r="A295" s="35">
        <f t="shared" si="24"/>
        <v>270</v>
      </c>
      <c r="B295" s="36">
        <f t="shared" si="25"/>
        <v>53479</v>
      </c>
      <c r="C295" s="37">
        <f t="shared" si="26"/>
        <v>596.56768671915654</v>
      </c>
      <c r="D295" s="38"/>
      <c r="E295" s="38"/>
      <c r="F295" s="39">
        <f t="shared" si="27"/>
        <v>217.65</v>
      </c>
      <c r="G295" s="39">
        <f t="shared" si="28"/>
        <v>378.91768671915656</v>
      </c>
      <c r="H295" s="39">
        <f t="shared" si="29"/>
        <v>43150.564585827728</v>
      </c>
    </row>
    <row r="296" spans="1:8" x14ac:dyDescent="0.25">
      <c r="A296" s="35">
        <f t="shared" si="24"/>
        <v>271</v>
      </c>
      <c r="B296" s="36">
        <f t="shared" si="25"/>
        <v>53509</v>
      </c>
      <c r="C296" s="37">
        <f t="shared" si="26"/>
        <v>596.56768671915654</v>
      </c>
      <c r="D296" s="38"/>
      <c r="E296" s="38"/>
      <c r="F296" s="39">
        <f t="shared" si="27"/>
        <v>215.75</v>
      </c>
      <c r="G296" s="39">
        <f t="shared" si="28"/>
        <v>380.81768671915654</v>
      </c>
      <c r="H296" s="39">
        <f t="shared" si="29"/>
        <v>42769.74689910857</v>
      </c>
    </row>
    <row r="297" spans="1:8" x14ac:dyDescent="0.25">
      <c r="A297" s="35">
        <f t="shared" si="24"/>
        <v>272</v>
      </c>
      <c r="B297" s="36">
        <f t="shared" si="25"/>
        <v>53540</v>
      </c>
      <c r="C297" s="37">
        <f t="shared" si="26"/>
        <v>596.56768671915654</v>
      </c>
      <c r="D297" s="38"/>
      <c r="E297" s="38"/>
      <c r="F297" s="39">
        <f t="shared" si="27"/>
        <v>213.85</v>
      </c>
      <c r="G297" s="39">
        <f t="shared" si="28"/>
        <v>382.71768671915652</v>
      </c>
      <c r="H297" s="39">
        <f t="shared" si="29"/>
        <v>42387.029212389411</v>
      </c>
    </row>
    <row r="298" spans="1:8" x14ac:dyDescent="0.25">
      <c r="A298" s="35">
        <f t="shared" si="24"/>
        <v>273</v>
      </c>
      <c r="B298" s="36">
        <f t="shared" si="25"/>
        <v>53571</v>
      </c>
      <c r="C298" s="37">
        <f t="shared" si="26"/>
        <v>596.56768671915654</v>
      </c>
      <c r="D298" s="38"/>
      <c r="E298" s="38"/>
      <c r="F298" s="39">
        <f t="shared" si="27"/>
        <v>211.94</v>
      </c>
      <c r="G298" s="39">
        <f t="shared" si="28"/>
        <v>384.62768671915654</v>
      </c>
      <c r="H298" s="39">
        <f t="shared" si="29"/>
        <v>42002.401525670255</v>
      </c>
    </row>
    <row r="299" spans="1:8" x14ac:dyDescent="0.25">
      <c r="A299" s="35">
        <f t="shared" si="24"/>
        <v>274</v>
      </c>
      <c r="B299" s="36">
        <f t="shared" si="25"/>
        <v>53601</v>
      </c>
      <c r="C299" s="37">
        <f t="shared" si="26"/>
        <v>596.56768671915654</v>
      </c>
      <c r="D299" s="38"/>
      <c r="E299" s="38"/>
      <c r="F299" s="39">
        <f t="shared" si="27"/>
        <v>210.01</v>
      </c>
      <c r="G299" s="39">
        <f t="shared" si="28"/>
        <v>386.55768671915655</v>
      </c>
      <c r="H299" s="39">
        <f t="shared" si="29"/>
        <v>41615.843838951099</v>
      </c>
    </row>
    <row r="300" spans="1:8" x14ac:dyDescent="0.25">
      <c r="A300" s="35">
        <f t="shared" si="24"/>
        <v>275</v>
      </c>
      <c r="B300" s="36">
        <f t="shared" si="25"/>
        <v>53632</v>
      </c>
      <c r="C300" s="37">
        <f t="shared" si="26"/>
        <v>596.56768671915654</v>
      </c>
      <c r="D300" s="38"/>
      <c r="E300" s="38"/>
      <c r="F300" s="39">
        <f t="shared" si="27"/>
        <v>208.08</v>
      </c>
      <c r="G300" s="39">
        <f t="shared" si="28"/>
        <v>388.4876867191565</v>
      </c>
      <c r="H300" s="39">
        <f t="shared" si="29"/>
        <v>41227.356152231943</v>
      </c>
    </row>
    <row r="301" spans="1:8" x14ac:dyDescent="0.25">
      <c r="A301" s="35">
        <f t="shared" si="24"/>
        <v>276</v>
      </c>
      <c r="B301" s="36">
        <f t="shared" si="25"/>
        <v>53662</v>
      </c>
      <c r="C301" s="37">
        <f t="shared" si="26"/>
        <v>596.56768671915654</v>
      </c>
      <c r="D301" s="38"/>
      <c r="E301" s="38"/>
      <c r="F301" s="39">
        <f t="shared" si="27"/>
        <v>206.14</v>
      </c>
      <c r="G301" s="39">
        <f t="shared" si="28"/>
        <v>390.42768671915655</v>
      </c>
      <c r="H301" s="39">
        <f t="shared" si="29"/>
        <v>40836.928465512785</v>
      </c>
    </row>
    <row r="302" spans="1:8" x14ac:dyDescent="0.25">
      <c r="A302" s="35">
        <f t="shared" si="24"/>
        <v>277</v>
      </c>
      <c r="B302" s="36">
        <f t="shared" si="25"/>
        <v>53693</v>
      </c>
      <c r="C302" s="37">
        <f t="shared" si="26"/>
        <v>596.56768671915654</v>
      </c>
      <c r="D302" s="38"/>
      <c r="E302" s="38"/>
      <c r="F302" s="39">
        <f t="shared" si="27"/>
        <v>204.18</v>
      </c>
      <c r="G302" s="39">
        <f t="shared" si="28"/>
        <v>392.38768671915653</v>
      </c>
      <c r="H302" s="39">
        <f t="shared" si="29"/>
        <v>40444.540778793627</v>
      </c>
    </row>
    <row r="303" spans="1:8" x14ac:dyDescent="0.25">
      <c r="A303" s="35">
        <f t="shared" si="24"/>
        <v>278</v>
      </c>
      <c r="B303" s="36">
        <f t="shared" si="25"/>
        <v>53724</v>
      </c>
      <c r="C303" s="37">
        <f t="shared" si="26"/>
        <v>596.56768671915654</v>
      </c>
      <c r="D303" s="38"/>
      <c r="E303" s="38"/>
      <c r="F303" s="39">
        <f t="shared" si="27"/>
        <v>202.22</v>
      </c>
      <c r="G303" s="39">
        <f t="shared" si="28"/>
        <v>394.34768671915651</v>
      </c>
      <c r="H303" s="39">
        <f t="shared" si="29"/>
        <v>40050.193092074471</v>
      </c>
    </row>
    <row r="304" spans="1:8" x14ac:dyDescent="0.25">
      <c r="A304" s="35">
        <f t="shared" si="24"/>
        <v>279</v>
      </c>
      <c r="B304" s="36">
        <f t="shared" si="25"/>
        <v>53752</v>
      </c>
      <c r="C304" s="37">
        <f t="shared" si="26"/>
        <v>596.56768671915654</v>
      </c>
      <c r="D304" s="38"/>
      <c r="E304" s="38"/>
      <c r="F304" s="39">
        <f t="shared" si="27"/>
        <v>200.25</v>
      </c>
      <c r="G304" s="39">
        <f t="shared" si="28"/>
        <v>396.31768671915654</v>
      </c>
      <c r="H304" s="39">
        <f t="shared" si="29"/>
        <v>39653.875405355313</v>
      </c>
    </row>
    <row r="305" spans="1:8" x14ac:dyDescent="0.25">
      <c r="A305" s="35">
        <f t="shared" si="24"/>
        <v>280</v>
      </c>
      <c r="B305" s="36">
        <f t="shared" si="25"/>
        <v>53783</v>
      </c>
      <c r="C305" s="37">
        <f t="shared" si="26"/>
        <v>596.56768671915654</v>
      </c>
      <c r="D305" s="38"/>
      <c r="E305" s="38"/>
      <c r="F305" s="39">
        <f t="shared" si="27"/>
        <v>198.27</v>
      </c>
      <c r="G305" s="39">
        <f t="shared" si="28"/>
        <v>398.29768671915656</v>
      </c>
      <c r="H305" s="39">
        <f t="shared" si="29"/>
        <v>39255.577718636159</v>
      </c>
    </row>
    <row r="306" spans="1:8" x14ac:dyDescent="0.25">
      <c r="A306" s="35">
        <f t="shared" si="24"/>
        <v>281</v>
      </c>
      <c r="B306" s="36">
        <f t="shared" si="25"/>
        <v>53813</v>
      </c>
      <c r="C306" s="37">
        <f t="shared" si="26"/>
        <v>596.56768671915654</v>
      </c>
      <c r="D306" s="38"/>
      <c r="E306" s="38"/>
      <c r="F306" s="39">
        <f t="shared" si="27"/>
        <v>196.28</v>
      </c>
      <c r="G306" s="39">
        <f t="shared" si="28"/>
        <v>400.28768671915657</v>
      </c>
      <c r="H306" s="39">
        <f t="shared" si="29"/>
        <v>38855.290031917</v>
      </c>
    </row>
    <row r="307" spans="1:8" x14ac:dyDescent="0.25">
      <c r="A307" s="35">
        <f t="shared" si="24"/>
        <v>282</v>
      </c>
      <c r="B307" s="36">
        <f t="shared" si="25"/>
        <v>53844</v>
      </c>
      <c r="C307" s="37">
        <f t="shared" si="26"/>
        <v>596.56768671915654</v>
      </c>
      <c r="D307" s="38"/>
      <c r="E307" s="38"/>
      <c r="F307" s="39">
        <f t="shared" si="27"/>
        <v>194.28</v>
      </c>
      <c r="G307" s="39">
        <f t="shared" si="28"/>
        <v>402.28768671915657</v>
      </c>
      <c r="H307" s="39">
        <f t="shared" si="29"/>
        <v>38453.002345197841</v>
      </c>
    </row>
    <row r="308" spans="1:8" x14ac:dyDescent="0.25">
      <c r="A308" s="35">
        <f t="shared" si="24"/>
        <v>283</v>
      </c>
      <c r="B308" s="36">
        <f t="shared" si="25"/>
        <v>53874</v>
      </c>
      <c r="C308" s="37">
        <f t="shared" si="26"/>
        <v>596.56768671915654</v>
      </c>
      <c r="D308" s="38"/>
      <c r="E308" s="38"/>
      <c r="F308" s="39">
        <f t="shared" si="27"/>
        <v>192.27</v>
      </c>
      <c r="G308" s="39">
        <f t="shared" si="28"/>
        <v>404.29768671915656</v>
      </c>
      <c r="H308" s="39">
        <f t="shared" si="29"/>
        <v>38048.704658478688</v>
      </c>
    </row>
    <row r="309" spans="1:8" x14ac:dyDescent="0.25">
      <c r="A309" s="35">
        <f t="shared" si="24"/>
        <v>284</v>
      </c>
      <c r="B309" s="36">
        <f t="shared" si="25"/>
        <v>53905</v>
      </c>
      <c r="C309" s="37">
        <f t="shared" si="26"/>
        <v>596.56768671915654</v>
      </c>
      <c r="D309" s="38"/>
      <c r="E309" s="38"/>
      <c r="F309" s="39">
        <f t="shared" si="27"/>
        <v>190.24</v>
      </c>
      <c r="G309" s="39">
        <f t="shared" si="28"/>
        <v>406.32768671915653</v>
      </c>
      <c r="H309" s="39">
        <f t="shared" si="29"/>
        <v>37642.376971759528</v>
      </c>
    </row>
    <row r="310" spans="1:8" x14ac:dyDescent="0.25">
      <c r="A310" s="35">
        <f t="shared" si="24"/>
        <v>285</v>
      </c>
      <c r="B310" s="36">
        <f t="shared" si="25"/>
        <v>53936</v>
      </c>
      <c r="C310" s="37">
        <f t="shared" si="26"/>
        <v>596.56768671915654</v>
      </c>
      <c r="D310" s="38"/>
      <c r="E310" s="38"/>
      <c r="F310" s="39">
        <f t="shared" si="27"/>
        <v>188.21</v>
      </c>
      <c r="G310" s="39">
        <f t="shared" si="28"/>
        <v>408.3576867191565</v>
      </c>
      <c r="H310" s="39">
        <f t="shared" si="29"/>
        <v>37234.019285040369</v>
      </c>
    </row>
    <row r="311" spans="1:8" x14ac:dyDescent="0.25">
      <c r="A311" s="35">
        <f t="shared" si="24"/>
        <v>286</v>
      </c>
      <c r="B311" s="36">
        <f t="shared" si="25"/>
        <v>53966</v>
      </c>
      <c r="C311" s="37">
        <f t="shared" si="26"/>
        <v>596.56768671915654</v>
      </c>
      <c r="D311" s="38"/>
      <c r="E311" s="38"/>
      <c r="F311" s="39">
        <f t="shared" si="27"/>
        <v>186.17</v>
      </c>
      <c r="G311" s="39">
        <f t="shared" si="28"/>
        <v>410.39768671915658</v>
      </c>
      <c r="H311" s="39">
        <f t="shared" si="29"/>
        <v>36823.62159832121</v>
      </c>
    </row>
    <row r="312" spans="1:8" x14ac:dyDescent="0.25">
      <c r="A312" s="35">
        <f t="shared" si="24"/>
        <v>287</v>
      </c>
      <c r="B312" s="36">
        <f t="shared" si="25"/>
        <v>53997</v>
      </c>
      <c r="C312" s="37">
        <f t="shared" si="26"/>
        <v>596.56768671915654</v>
      </c>
      <c r="D312" s="38"/>
      <c r="E312" s="38"/>
      <c r="F312" s="39">
        <f t="shared" si="27"/>
        <v>184.12</v>
      </c>
      <c r="G312" s="39">
        <f t="shared" si="28"/>
        <v>412.44768671915654</v>
      </c>
      <c r="H312" s="39">
        <f t="shared" si="29"/>
        <v>36411.173911602054</v>
      </c>
    </row>
    <row r="313" spans="1:8" x14ac:dyDescent="0.25">
      <c r="A313" s="35">
        <f t="shared" si="24"/>
        <v>288</v>
      </c>
      <c r="B313" s="36">
        <f t="shared" si="25"/>
        <v>54027</v>
      </c>
      <c r="C313" s="37">
        <f t="shared" si="26"/>
        <v>596.56768671915654</v>
      </c>
      <c r="D313" s="38"/>
      <c r="E313" s="38"/>
      <c r="F313" s="39">
        <f t="shared" si="27"/>
        <v>182.06</v>
      </c>
      <c r="G313" s="39">
        <f t="shared" si="28"/>
        <v>414.50768671915654</v>
      </c>
      <c r="H313" s="39">
        <f t="shared" si="29"/>
        <v>35996.666224882894</v>
      </c>
    </row>
    <row r="314" spans="1:8" x14ac:dyDescent="0.25">
      <c r="A314" s="35">
        <f t="shared" si="24"/>
        <v>289</v>
      </c>
      <c r="B314" s="36">
        <f t="shared" si="25"/>
        <v>54058</v>
      </c>
      <c r="C314" s="37">
        <f t="shared" si="26"/>
        <v>596.56768671915654</v>
      </c>
      <c r="D314" s="38"/>
      <c r="E314" s="38"/>
      <c r="F314" s="39">
        <f t="shared" si="27"/>
        <v>179.98</v>
      </c>
      <c r="G314" s="39">
        <f t="shared" si="28"/>
        <v>416.58768671915652</v>
      </c>
      <c r="H314" s="39">
        <f t="shared" si="29"/>
        <v>35580.07853816374</v>
      </c>
    </row>
    <row r="315" spans="1:8" x14ac:dyDescent="0.25">
      <c r="A315" s="35">
        <f t="shared" si="24"/>
        <v>290</v>
      </c>
      <c r="B315" s="36">
        <f t="shared" si="25"/>
        <v>54089</v>
      </c>
      <c r="C315" s="37">
        <f t="shared" si="26"/>
        <v>596.56768671915654</v>
      </c>
      <c r="D315" s="38"/>
      <c r="E315" s="38"/>
      <c r="F315" s="39">
        <f t="shared" si="27"/>
        <v>177.9</v>
      </c>
      <c r="G315" s="39">
        <f t="shared" si="28"/>
        <v>418.66768671915656</v>
      </c>
      <c r="H315" s="39">
        <f t="shared" si="29"/>
        <v>35161.410851444583</v>
      </c>
    </row>
    <row r="316" spans="1:8" x14ac:dyDescent="0.25">
      <c r="A316" s="35">
        <f t="shared" si="24"/>
        <v>291</v>
      </c>
      <c r="B316" s="36">
        <f t="shared" si="25"/>
        <v>54118</v>
      </c>
      <c r="C316" s="37">
        <f t="shared" si="26"/>
        <v>596.56768671915654</v>
      </c>
      <c r="D316" s="38"/>
      <c r="E316" s="38"/>
      <c r="F316" s="39">
        <f t="shared" si="27"/>
        <v>175.81</v>
      </c>
      <c r="G316" s="39">
        <f t="shared" si="28"/>
        <v>420.75768671915654</v>
      </c>
      <c r="H316" s="39">
        <f t="shared" si="29"/>
        <v>34740.653164725423</v>
      </c>
    </row>
    <row r="317" spans="1:8" x14ac:dyDescent="0.25">
      <c r="A317" s="35">
        <f t="shared" si="24"/>
        <v>292</v>
      </c>
      <c r="B317" s="36">
        <f t="shared" si="25"/>
        <v>54149</v>
      </c>
      <c r="C317" s="37">
        <f t="shared" si="26"/>
        <v>596.56768671915654</v>
      </c>
      <c r="D317" s="38"/>
      <c r="E317" s="38"/>
      <c r="F317" s="39">
        <f t="shared" si="27"/>
        <v>173.7</v>
      </c>
      <c r="G317" s="39">
        <f t="shared" si="28"/>
        <v>422.86768671915655</v>
      </c>
      <c r="H317" s="39">
        <f t="shared" si="29"/>
        <v>34317.78547800627</v>
      </c>
    </row>
    <row r="318" spans="1:8" x14ac:dyDescent="0.25">
      <c r="A318" s="35">
        <f t="shared" si="24"/>
        <v>293</v>
      </c>
      <c r="B318" s="36">
        <f t="shared" si="25"/>
        <v>54179</v>
      </c>
      <c r="C318" s="37">
        <f t="shared" si="26"/>
        <v>596.56768671915654</v>
      </c>
      <c r="D318" s="38"/>
      <c r="E318" s="38"/>
      <c r="F318" s="39">
        <f t="shared" si="27"/>
        <v>171.59</v>
      </c>
      <c r="G318" s="39">
        <f t="shared" si="28"/>
        <v>424.97768671915651</v>
      </c>
      <c r="H318" s="39">
        <f t="shared" si="29"/>
        <v>33892.807791287116</v>
      </c>
    </row>
    <row r="319" spans="1:8" x14ac:dyDescent="0.25">
      <c r="A319" s="35">
        <f t="shared" si="24"/>
        <v>294</v>
      </c>
      <c r="B319" s="36">
        <f t="shared" si="25"/>
        <v>54210</v>
      </c>
      <c r="C319" s="37">
        <f t="shared" si="26"/>
        <v>596.56768671915654</v>
      </c>
      <c r="D319" s="38"/>
      <c r="E319" s="38"/>
      <c r="F319" s="39">
        <f t="shared" si="27"/>
        <v>169.46</v>
      </c>
      <c r="G319" s="39">
        <f t="shared" si="28"/>
        <v>427.1076867191565</v>
      </c>
      <c r="H319" s="39">
        <f t="shared" si="29"/>
        <v>33465.700104567957</v>
      </c>
    </row>
    <row r="320" spans="1:8" x14ac:dyDescent="0.25">
      <c r="A320" s="35">
        <f t="shared" si="24"/>
        <v>295</v>
      </c>
      <c r="B320" s="36">
        <f t="shared" si="25"/>
        <v>54240</v>
      </c>
      <c r="C320" s="37">
        <f t="shared" si="26"/>
        <v>596.56768671915654</v>
      </c>
      <c r="D320" s="38"/>
      <c r="E320" s="38"/>
      <c r="F320" s="39">
        <f t="shared" si="27"/>
        <v>167.33</v>
      </c>
      <c r="G320" s="39">
        <f t="shared" si="28"/>
        <v>429.2376867191565</v>
      </c>
      <c r="H320" s="39">
        <f t="shared" si="29"/>
        <v>33036.462417848801</v>
      </c>
    </row>
    <row r="321" spans="1:8" x14ac:dyDescent="0.25">
      <c r="A321" s="35">
        <f t="shared" si="24"/>
        <v>296</v>
      </c>
      <c r="B321" s="36">
        <f t="shared" si="25"/>
        <v>54271</v>
      </c>
      <c r="C321" s="37">
        <f t="shared" si="26"/>
        <v>596.56768671915654</v>
      </c>
      <c r="D321" s="38"/>
      <c r="E321" s="38"/>
      <c r="F321" s="39">
        <f t="shared" si="27"/>
        <v>165.18</v>
      </c>
      <c r="G321" s="39">
        <f t="shared" si="28"/>
        <v>431.38768671915653</v>
      </c>
      <c r="H321" s="39">
        <f t="shared" si="29"/>
        <v>32605.074731129644</v>
      </c>
    </row>
    <row r="322" spans="1:8" x14ac:dyDescent="0.25">
      <c r="A322" s="35">
        <f t="shared" si="24"/>
        <v>297</v>
      </c>
      <c r="B322" s="36">
        <f t="shared" si="25"/>
        <v>54302</v>
      </c>
      <c r="C322" s="37">
        <f t="shared" si="26"/>
        <v>596.56768671915654</v>
      </c>
      <c r="D322" s="38"/>
      <c r="E322" s="38"/>
      <c r="F322" s="39">
        <f t="shared" si="27"/>
        <v>163.03</v>
      </c>
      <c r="G322" s="39">
        <f t="shared" si="28"/>
        <v>433.53768671915657</v>
      </c>
      <c r="H322" s="39">
        <f t="shared" si="29"/>
        <v>32171.537044410488</v>
      </c>
    </row>
    <row r="323" spans="1:8" x14ac:dyDescent="0.25">
      <c r="A323" s="35">
        <f t="shared" si="24"/>
        <v>298</v>
      </c>
      <c r="B323" s="36">
        <f t="shared" si="25"/>
        <v>54332</v>
      </c>
      <c r="C323" s="37">
        <f t="shared" si="26"/>
        <v>596.56768671915654</v>
      </c>
      <c r="D323" s="38"/>
      <c r="E323" s="38"/>
      <c r="F323" s="39">
        <f t="shared" si="27"/>
        <v>160.86000000000001</v>
      </c>
      <c r="G323" s="39">
        <f t="shared" si="28"/>
        <v>435.70768671915653</v>
      </c>
      <c r="H323" s="39">
        <f t="shared" si="29"/>
        <v>31735.829357691331</v>
      </c>
    </row>
    <row r="324" spans="1:8" x14ac:dyDescent="0.25">
      <c r="A324" s="35">
        <f t="shared" si="24"/>
        <v>299</v>
      </c>
      <c r="B324" s="36">
        <f t="shared" si="25"/>
        <v>54363</v>
      </c>
      <c r="C324" s="37">
        <f t="shared" si="26"/>
        <v>596.56768671915654</v>
      </c>
      <c r="D324" s="38"/>
      <c r="E324" s="38"/>
      <c r="F324" s="39">
        <f t="shared" si="27"/>
        <v>158.68</v>
      </c>
      <c r="G324" s="39">
        <f t="shared" si="28"/>
        <v>437.88768671915653</v>
      </c>
      <c r="H324" s="39">
        <f t="shared" si="29"/>
        <v>31297.941670972174</v>
      </c>
    </row>
    <row r="325" spans="1:8" x14ac:dyDescent="0.25">
      <c r="A325" s="35">
        <f t="shared" si="24"/>
        <v>300</v>
      </c>
      <c r="B325" s="36">
        <f t="shared" si="25"/>
        <v>54393</v>
      </c>
      <c r="C325" s="37">
        <f t="shared" si="26"/>
        <v>596.56768671915654</v>
      </c>
      <c r="D325" s="38"/>
      <c r="E325" s="38"/>
      <c r="F325" s="39">
        <f t="shared" si="27"/>
        <v>156.49</v>
      </c>
      <c r="G325" s="39">
        <f t="shared" si="28"/>
        <v>440.07768671915653</v>
      </c>
      <c r="H325" s="39">
        <f t="shared" si="29"/>
        <v>30857.863984253017</v>
      </c>
    </row>
    <row r="326" spans="1:8" x14ac:dyDescent="0.25">
      <c r="A326" s="35">
        <f t="shared" si="24"/>
        <v>301</v>
      </c>
      <c r="B326" s="36">
        <f t="shared" si="25"/>
        <v>54424</v>
      </c>
      <c r="C326" s="37">
        <f t="shared" si="26"/>
        <v>596.56768671915654</v>
      </c>
      <c r="D326" s="38"/>
      <c r="E326" s="38"/>
      <c r="F326" s="39">
        <f t="shared" si="27"/>
        <v>154.29</v>
      </c>
      <c r="G326" s="39">
        <f t="shared" si="28"/>
        <v>442.27768671915658</v>
      </c>
      <c r="H326" s="39">
        <f t="shared" si="29"/>
        <v>30415.58629753386</v>
      </c>
    </row>
    <row r="327" spans="1:8" x14ac:dyDescent="0.25">
      <c r="A327" s="35">
        <f t="shared" si="24"/>
        <v>302</v>
      </c>
      <c r="B327" s="36">
        <f t="shared" si="25"/>
        <v>54455</v>
      </c>
      <c r="C327" s="37">
        <f t="shared" si="26"/>
        <v>596.56768671915654</v>
      </c>
      <c r="D327" s="38"/>
      <c r="E327" s="38"/>
      <c r="F327" s="39">
        <f t="shared" si="27"/>
        <v>152.08000000000001</v>
      </c>
      <c r="G327" s="39">
        <f t="shared" si="28"/>
        <v>444.4876867191565</v>
      </c>
      <c r="H327" s="39">
        <f t="shared" si="29"/>
        <v>29971.098610814704</v>
      </c>
    </row>
    <row r="328" spans="1:8" x14ac:dyDescent="0.25">
      <c r="A328" s="35">
        <f t="shared" si="24"/>
        <v>303</v>
      </c>
      <c r="B328" s="36">
        <f t="shared" si="25"/>
        <v>54483</v>
      </c>
      <c r="C328" s="37">
        <f t="shared" si="26"/>
        <v>596.56768671915654</v>
      </c>
      <c r="D328" s="38"/>
      <c r="E328" s="38"/>
      <c r="F328" s="39">
        <f t="shared" si="27"/>
        <v>149.86000000000001</v>
      </c>
      <c r="G328" s="39">
        <f t="shared" si="28"/>
        <v>446.70768671915653</v>
      </c>
      <c r="H328" s="39">
        <f t="shared" si="29"/>
        <v>29524.390924095547</v>
      </c>
    </row>
    <row r="329" spans="1:8" x14ac:dyDescent="0.25">
      <c r="A329" s="35">
        <f t="shared" si="24"/>
        <v>304</v>
      </c>
      <c r="B329" s="36">
        <f t="shared" si="25"/>
        <v>54514</v>
      </c>
      <c r="C329" s="37">
        <f t="shared" si="26"/>
        <v>596.56768671915654</v>
      </c>
      <c r="D329" s="38"/>
      <c r="E329" s="38"/>
      <c r="F329" s="39">
        <f t="shared" si="27"/>
        <v>147.62</v>
      </c>
      <c r="G329" s="39">
        <f t="shared" si="28"/>
        <v>448.94768671915654</v>
      </c>
      <c r="H329" s="39">
        <f t="shared" si="29"/>
        <v>29075.443237376392</v>
      </c>
    </row>
    <row r="330" spans="1:8" x14ac:dyDescent="0.25">
      <c r="A330" s="35">
        <f t="shared" si="24"/>
        <v>305</v>
      </c>
      <c r="B330" s="36">
        <f t="shared" si="25"/>
        <v>54544</v>
      </c>
      <c r="C330" s="37">
        <f t="shared" si="26"/>
        <v>596.56768671915654</v>
      </c>
      <c r="D330" s="38"/>
      <c r="E330" s="38"/>
      <c r="F330" s="39">
        <f t="shared" si="27"/>
        <v>145.38</v>
      </c>
      <c r="G330" s="39">
        <f t="shared" si="28"/>
        <v>451.18768671915655</v>
      </c>
      <c r="H330" s="39">
        <f t="shared" si="29"/>
        <v>28624.255550657235</v>
      </c>
    </row>
    <row r="331" spans="1:8" x14ac:dyDescent="0.25">
      <c r="A331" s="35">
        <f t="shared" si="24"/>
        <v>306</v>
      </c>
      <c r="B331" s="36">
        <f t="shared" si="25"/>
        <v>54575</v>
      </c>
      <c r="C331" s="37">
        <f t="shared" si="26"/>
        <v>596.56768671915654</v>
      </c>
      <c r="D331" s="38"/>
      <c r="E331" s="38"/>
      <c r="F331" s="39">
        <f t="shared" si="27"/>
        <v>143.12</v>
      </c>
      <c r="G331" s="39">
        <f t="shared" si="28"/>
        <v>453.44768671915654</v>
      </c>
      <c r="H331" s="39">
        <f t="shared" si="29"/>
        <v>28170.80786393808</v>
      </c>
    </row>
    <row r="332" spans="1:8" x14ac:dyDescent="0.25">
      <c r="A332" s="35">
        <f t="shared" si="24"/>
        <v>307</v>
      </c>
      <c r="B332" s="36">
        <f t="shared" si="25"/>
        <v>54605</v>
      </c>
      <c r="C332" s="37">
        <f t="shared" si="26"/>
        <v>596.56768671915654</v>
      </c>
      <c r="D332" s="38"/>
      <c r="E332" s="38"/>
      <c r="F332" s="39">
        <f t="shared" si="27"/>
        <v>140.85</v>
      </c>
      <c r="G332" s="39">
        <f t="shared" si="28"/>
        <v>455.71768671915652</v>
      </c>
      <c r="H332" s="39">
        <f t="shared" si="29"/>
        <v>27715.090177218925</v>
      </c>
    </row>
    <row r="333" spans="1:8" x14ac:dyDescent="0.25">
      <c r="A333" s="35">
        <f t="shared" si="24"/>
        <v>308</v>
      </c>
      <c r="B333" s="36">
        <f t="shared" si="25"/>
        <v>54636</v>
      </c>
      <c r="C333" s="37">
        <f t="shared" si="26"/>
        <v>596.56768671915654</v>
      </c>
      <c r="D333" s="38"/>
      <c r="E333" s="38"/>
      <c r="F333" s="39">
        <f t="shared" si="27"/>
        <v>138.58000000000001</v>
      </c>
      <c r="G333" s="39">
        <f t="shared" si="28"/>
        <v>457.9876867191565</v>
      </c>
      <c r="H333" s="39">
        <f t="shared" si="29"/>
        <v>27257.102490499768</v>
      </c>
    </row>
    <row r="334" spans="1:8" x14ac:dyDescent="0.25">
      <c r="A334" s="35">
        <f t="shared" si="24"/>
        <v>309</v>
      </c>
      <c r="B334" s="36">
        <f t="shared" si="25"/>
        <v>54667</v>
      </c>
      <c r="C334" s="37">
        <f t="shared" si="26"/>
        <v>596.56768671915654</v>
      </c>
      <c r="D334" s="38"/>
      <c r="E334" s="38"/>
      <c r="F334" s="39">
        <f t="shared" si="27"/>
        <v>136.29</v>
      </c>
      <c r="G334" s="39">
        <f t="shared" si="28"/>
        <v>460.27768671915658</v>
      </c>
      <c r="H334" s="39">
        <f t="shared" si="29"/>
        <v>26796.824803780612</v>
      </c>
    </row>
    <row r="335" spans="1:8" x14ac:dyDescent="0.25">
      <c r="A335" s="35">
        <f t="shared" si="24"/>
        <v>310</v>
      </c>
      <c r="B335" s="36">
        <f t="shared" si="25"/>
        <v>54697</v>
      </c>
      <c r="C335" s="37">
        <f t="shared" si="26"/>
        <v>596.56768671915654</v>
      </c>
      <c r="D335" s="38"/>
      <c r="E335" s="38"/>
      <c r="F335" s="39">
        <f t="shared" si="27"/>
        <v>133.97999999999999</v>
      </c>
      <c r="G335" s="39">
        <f t="shared" si="28"/>
        <v>462.58768671915652</v>
      </c>
      <c r="H335" s="39">
        <f t="shared" si="29"/>
        <v>26334.237117061453</v>
      </c>
    </row>
    <row r="336" spans="1:8" x14ac:dyDescent="0.25">
      <c r="A336" s="35">
        <f t="shared" si="24"/>
        <v>311</v>
      </c>
      <c r="B336" s="36">
        <f t="shared" si="25"/>
        <v>54728</v>
      </c>
      <c r="C336" s="37">
        <f t="shared" si="26"/>
        <v>596.56768671915654</v>
      </c>
      <c r="D336" s="38"/>
      <c r="E336" s="38"/>
      <c r="F336" s="39">
        <f t="shared" si="27"/>
        <v>131.66999999999999</v>
      </c>
      <c r="G336" s="39">
        <f t="shared" si="28"/>
        <v>464.89768671915658</v>
      </c>
      <c r="H336" s="39">
        <f t="shared" si="29"/>
        <v>25869.339430342297</v>
      </c>
    </row>
    <row r="337" spans="1:8" x14ac:dyDescent="0.25">
      <c r="A337" s="35">
        <f t="shared" si="24"/>
        <v>312</v>
      </c>
      <c r="B337" s="36">
        <f t="shared" si="25"/>
        <v>54758</v>
      </c>
      <c r="C337" s="37">
        <f t="shared" si="26"/>
        <v>596.56768671915654</v>
      </c>
      <c r="D337" s="38"/>
      <c r="E337" s="38"/>
      <c r="F337" s="39">
        <f t="shared" si="27"/>
        <v>129.35</v>
      </c>
      <c r="G337" s="39">
        <f t="shared" si="28"/>
        <v>467.21768671915652</v>
      </c>
      <c r="H337" s="39">
        <f t="shared" si="29"/>
        <v>25402.121743623142</v>
      </c>
    </row>
    <row r="338" spans="1:8" x14ac:dyDescent="0.25">
      <c r="A338" s="35">
        <f t="shared" si="24"/>
        <v>313</v>
      </c>
      <c r="B338" s="36">
        <f t="shared" si="25"/>
        <v>54789</v>
      </c>
      <c r="C338" s="37">
        <f t="shared" si="26"/>
        <v>596.56768671915654</v>
      </c>
      <c r="D338" s="38"/>
      <c r="E338" s="38"/>
      <c r="F338" s="39">
        <f t="shared" si="27"/>
        <v>127.01</v>
      </c>
      <c r="G338" s="39">
        <f t="shared" si="28"/>
        <v>469.55768671915655</v>
      </c>
      <c r="H338" s="39">
        <f t="shared" si="29"/>
        <v>24932.564056903986</v>
      </c>
    </row>
    <row r="339" spans="1:8" x14ac:dyDescent="0.25">
      <c r="A339" s="35">
        <f t="shared" si="24"/>
        <v>314</v>
      </c>
      <c r="B339" s="36">
        <f t="shared" si="25"/>
        <v>54820</v>
      </c>
      <c r="C339" s="37">
        <f t="shared" si="26"/>
        <v>596.56768671915654</v>
      </c>
      <c r="D339" s="38"/>
      <c r="E339" s="38"/>
      <c r="F339" s="39">
        <f t="shared" si="27"/>
        <v>124.66</v>
      </c>
      <c r="G339" s="39">
        <f t="shared" si="28"/>
        <v>471.90768671915657</v>
      </c>
      <c r="H339" s="39">
        <f t="shared" si="29"/>
        <v>24460.656370184828</v>
      </c>
    </row>
    <row r="340" spans="1:8" x14ac:dyDescent="0.25">
      <c r="A340" s="35">
        <f t="shared" si="24"/>
        <v>315</v>
      </c>
      <c r="B340" s="36">
        <f t="shared" si="25"/>
        <v>54848</v>
      </c>
      <c r="C340" s="37">
        <f t="shared" si="26"/>
        <v>596.56768671915654</v>
      </c>
      <c r="D340" s="38"/>
      <c r="E340" s="38"/>
      <c r="F340" s="39">
        <f t="shared" si="27"/>
        <v>122.3</v>
      </c>
      <c r="G340" s="39">
        <f t="shared" si="28"/>
        <v>474.26768671915653</v>
      </c>
      <c r="H340" s="39">
        <f t="shared" si="29"/>
        <v>23986.388683465673</v>
      </c>
    </row>
    <row r="341" spans="1:8" x14ac:dyDescent="0.25">
      <c r="A341" s="35">
        <f t="shared" si="24"/>
        <v>316</v>
      </c>
      <c r="B341" s="36">
        <f t="shared" si="25"/>
        <v>54879</v>
      </c>
      <c r="C341" s="37">
        <f t="shared" si="26"/>
        <v>596.56768671915654</v>
      </c>
      <c r="D341" s="38"/>
      <c r="E341" s="38"/>
      <c r="F341" s="39">
        <f t="shared" si="27"/>
        <v>119.93</v>
      </c>
      <c r="G341" s="39">
        <f t="shared" si="28"/>
        <v>476.63768671915653</v>
      </c>
      <c r="H341" s="39">
        <f t="shared" si="29"/>
        <v>23509.750996746516</v>
      </c>
    </row>
    <row r="342" spans="1:8" x14ac:dyDescent="0.25">
      <c r="A342" s="35">
        <f t="shared" si="24"/>
        <v>317</v>
      </c>
      <c r="B342" s="36">
        <f t="shared" si="25"/>
        <v>54909</v>
      </c>
      <c r="C342" s="37">
        <f t="shared" si="26"/>
        <v>596.56768671915654</v>
      </c>
      <c r="D342" s="38"/>
      <c r="E342" s="38"/>
      <c r="F342" s="39">
        <f t="shared" si="27"/>
        <v>117.55</v>
      </c>
      <c r="G342" s="39">
        <f t="shared" si="28"/>
        <v>479.01768671915653</v>
      </c>
      <c r="H342" s="39">
        <f t="shared" si="29"/>
        <v>23030.733310027361</v>
      </c>
    </row>
    <row r="343" spans="1:8" x14ac:dyDescent="0.25">
      <c r="A343" s="35">
        <f t="shared" si="24"/>
        <v>318</v>
      </c>
      <c r="B343" s="36">
        <f t="shared" si="25"/>
        <v>54940</v>
      </c>
      <c r="C343" s="37">
        <f t="shared" si="26"/>
        <v>596.56768671915654</v>
      </c>
      <c r="D343" s="38"/>
      <c r="E343" s="38"/>
      <c r="F343" s="39">
        <f t="shared" si="27"/>
        <v>115.15</v>
      </c>
      <c r="G343" s="39">
        <f t="shared" si="28"/>
        <v>481.41768671915656</v>
      </c>
      <c r="H343" s="39">
        <f t="shared" si="29"/>
        <v>22549.315623308205</v>
      </c>
    </row>
    <row r="344" spans="1:8" x14ac:dyDescent="0.25">
      <c r="A344" s="35">
        <f t="shared" si="24"/>
        <v>319</v>
      </c>
      <c r="B344" s="36">
        <f t="shared" si="25"/>
        <v>54970</v>
      </c>
      <c r="C344" s="37">
        <f t="shared" si="26"/>
        <v>596.56768671915654</v>
      </c>
      <c r="D344" s="38"/>
      <c r="E344" s="38"/>
      <c r="F344" s="39">
        <f t="shared" si="27"/>
        <v>112.75</v>
      </c>
      <c r="G344" s="39">
        <f t="shared" si="28"/>
        <v>483.81768671915654</v>
      </c>
      <c r="H344" s="39">
        <f t="shared" si="29"/>
        <v>22065.497936589047</v>
      </c>
    </row>
    <row r="345" spans="1:8" x14ac:dyDescent="0.25">
      <c r="A345" s="35">
        <f t="shared" si="24"/>
        <v>320</v>
      </c>
      <c r="B345" s="36">
        <f t="shared" si="25"/>
        <v>55001</v>
      </c>
      <c r="C345" s="37">
        <f t="shared" si="26"/>
        <v>596.56768671915654</v>
      </c>
      <c r="D345" s="38"/>
      <c r="E345" s="38"/>
      <c r="F345" s="39">
        <f t="shared" si="27"/>
        <v>110.33</v>
      </c>
      <c r="G345" s="39">
        <f t="shared" si="28"/>
        <v>486.23768671915656</v>
      </c>
      <c r="H345" s="39">
        <f t="shared" si="29"/>
        <v>21579.260249869891</v>
      </c>
    </row>
    <row r="346" spans="1:8" x14ac:dyDescent="0.25">
      <c r="A346" s="35">
        <f t="shared" ref="A346:A409" si="30">IF(H345="","",IF(roundOpt,IF(OR(A345&gt;=nPer,ROUND(H345,2)&lt;=0),"",A345+1),IF(OR(A345&gt;=nPer,H345&lt;=0),"",A345+1)))</f>
        <v>321</v>
      </c>
      <c r="B346" s="36">
        <f t="shared" ref="B346:B409" si="31">IF(A346="","",IF(OR(periods_per_year=26,periods_per_year=52),IF(periods_per_year=26,IF(A346=1,beginDate,B345+14),IF(periods_per_year=52,IF(A346=1,beginDate,B345+7),"n/a")),IF(periods_per_year=24,DATE(YEAR(beginDate),MONTH(beginDate)+(A346-1)/2+IF(AND(DAY(beginDate)&gt;=15,MOD(A346,2)=0),1,0),IF(MOD(A346,2)=0,IF(DAY(beginDate)&gt;=15,DAY(beginDate)-14,DAY(beginDate)+14),DAY(beginDate))),IF(DAY(DATE(YEAR(beginDate),MONTH(beginDate)+(A346-1)*monthsPerPeriod,DAY(beginDate)))&lt;&gt;DAY(beginDate),DATE(YEAR(beginDate),MONTH(beginDate)+(A346-1)*monthsPerPeriod+1,0),DATE(YEAR(beginDate),MONTH(beginDate)+(A346-1)*monthsPerPeriod,DAY(beginDate))))))</f>
        <v>55032</v>
      </c>
      <c r="C346" s="37">
        <f t="shared" ref="C346:C409" si="32">IF(A346="","",IF(roundOpt,IF(OR(A346=nPer,payment&gt;ROUND((1+rate)*H345,2)),ROUND((1+rate)*H345,2),payment),IF(OR(A346=nPer,payment&gt;(1+rate)*H345),(1+rate)*H345,payment)))</f>
        <v>596.56768671915654</v>
      </c>
      <c r="D346" s="38"/>
      <c r="E346" s="38"/>
      <c r="F346" s="39">
        <f t="shared" ref="F346:F409" si="33">IF(A346="","",IF(AND(A346=1,pmtType=1),0,IF(roundOpt,ROUND(rate*H345,2),rate*H345)))</f>
        <v>107.9</v>
      </c>
      <c r="G346" s="39">
        <f t="shared" ref="G346:G409" si="34">IF(A346="","",C346-F346+D346)</f>
        <v>488.66768671915656</v>
      </c>
      <c r="H346" s="39">
        <f t="shared" ref="H346:H409" si="35">IF(A346="","",H345-G346)</f>
        <v>21090.592563150734</v>
      </c>
    </row>
    <row r="347" spans="1:8" x14ac:dyDescent="0.25">
      <c r="A347" s="35">
        <f t="shared" si="30"/>
        <v>322</v>
      </c>
      <c r="B347" s="36">
        <f t="shared" si="31"/>
        <v>55062</v>
      </c>
      <c r="C347" s="37">
        <f t="shared" si="32"/>
        <v>596.56768671915654</v>
      </c>
      <c r="D347" s="38"/>
      <c r="E347" s="38"/>
      <c r="F347" s="39">
        <f t="shared" si="33"/>
        <v>105.45</v>
      </c>
      <c r="G347" s="39">
        <f t="shared" si="34"/>
        <v>491.11768671915655</v>
      </c>
      <c r="H347" s="39">
        <f t="shared" si="35"/>
        <v>20599.474876431577</v>
      </c>
    </row>
    <row r="348" spans="1:8" x14ac:dyDescent="0.25">
      <c r="A348" s="35">
        <f t="shared" si="30"/>
        <v>323</v>
      </c>
      <c r="B348" s="36">
        <f t="shared" si="31"/>
        <v>55093</v>
      </c>
      <c r="C348" s="37">
        <f t="shared" si="32"/>
        <v>596.56768671915654</v>
      </c>
      <c r="D348" s="38"/>
      <c r="E348" s="38"/>
      <c r="F348" s="39">
        <f t="shared" si="33"/>
        <v>103</v>
      </c>
      <c r="G348" s="39">
        <f t="shared" si="34"/>
        <v>493.56768671915654</v>
      </c>
      <c r="H348" s="39">
        <f t="shared" si="35"/>
        <v>20105.907189712419</v>
      </c>
    </row>
    <row r="349" spans="1:8" x14ac:dyDescent="0.25">
      <c r="A349" s="35">
        <f t="shared" si="30"/>
        <v>324</v>
      </c>
      <c r="B349" s="36">
        <f t="shared" si="31"/>
        <v>55123</v>
      </c>
      <c r="C349" s="37">
        <f t="shared" si="32"/>
        <v>596.56768671915654</v>
      </c>
      <c r="D349" s="38"/>
      <c r="E349" s="38"/>
      <c r="F349" s="39">
        <f t="shared" si="33"/>
        <v>100.53</v>
      </c>
      <c r="G349" s="39">
        <f t="shared" si="34"/>
        <v>496.03768671915657</v>
      </c>
      <c r="H349" s="39">
        <f t="shared" si="35"/>
        <v>19609.869502993264</v>
      </c>
    </row>
    <row r="350" spans="1:8" x14ac:dyDescent="0.25">
      <c r="A350" s="35">
        <f t="shared" si="30"/>
        <v>325</v>
      </c>
      <c r="B350" s="36">
        <f t="shared" si="31"/>
        <v>55154</v>
      </c>
      <c r="C350" s="37">
        <f t="shared" si="32"/>
        <v>596.56768671915654</v>
      </c>
      <c r="D350" s="38"/>
      <c r="E350" s="38"/>
      <c r="F350" s="39">
        <f t="shared" si="33"/>
        <v>98.05</v>
      </c>
      <c r="G350" s="39">
        <f t="shared" si="34"/>
        <v>498.51768671915653</v>
      </c>
      <c r="H350" s="39">
        <f t="shared" si="35"/>
        <v>19111.351816274109</v>
      </c>
    </row>
    <row r="351" spans="1:8" x14ac:dyDescent="0.25">
      <c r="A351" s="35">
        <f t="shared" si="30"/>
        <v>326</v>
      </c>
      <c r="B351" s="36">
        <f t="shared" si="31"/>
        <v>55185</v>
      </c>
      <c r="C351" s="37">
        <f t="shared" si="32"/>
        <v>596.56768671915654</v>
      </c>
      <c r="D351" s="38"/>
      <c r="E351" s="38"/>
      <c r="F351" s="39">
        <f t="shared" si="33"/>
        <v>95.56</v>
      </c>
      <c r="G351" s="39">
        <f t="shared" si="34"/>
        <v>501.00768671915654</v>
      </c>
      <c r="H351" s="39">
        <f t="shared" si="35"/>
        <v>18610.344129554953</v>
      </c>
    </row>
    <row r="352" spans="1:8" x14ac:dyDescent="0.25">
      <c r="A352" s="35">
        <f t="shared" si="30"/>
        <v>327</v>
      </c>
      <c r="B352" s="36">
        <f t="shared" si="31"/>
        <v>55213</v>
      </c>
      <c r="C352" s="37">
        <f t="shared" si="32"/>
        <v>596.56768671915654</v>
      </c>
      <c r="D352" s="38"/>
      <c r="E352" s="38"/>
      <c r="F352" s="39">
        <f t="shared" si="33"/>
        <v>93.05</v>
      </c>
      <c r="G352" s="39">
        <f t="shared" si="34"/>
        <v>503.51768671915653</v>
      </c>
      <c r="H352" s="39">
        <f t="shared" si="35"/>
        <v>18106.826442835798</v>
      </c>
    </row>
    <row r="353" spans="1:8" x14ac:dyDescent="0.25">
      <c r="A353" s="35">
        <f t="shared" si="30"/>
        <v>328</v>
      </c>
      <c r="B353" s="36">
        <f t="shared" si="31"/>
        <v>55244</v>
      </c>
      <c r="C353" s="37">
        <f t="shared" si="32"/>
        <v>596.56768671915654</v>
      </c>
      <c r="D353" s="38"/>
      <c r="E353" s="38"/>
      <c r="F353" s="39">
        <f t="shared" si="33"/>
        <v>90.53</v>
      </c>
      <c r="G353" s="39">
        <f t="shared" si="34"/>
        <v>506.03768671915657</v>
      </c>
      <c r="H353" s="39">
        <f t="shared" si="35"/>
        <v>17600.788756116643</v>
      </c>
    </row>
    <row r="354" spans="1:8" x14ac:dyDescent="0.25">
      <c r="A354" s="35">
        <f t="shared" si="30"/>
        <v>329</v>
      </c>
      <c r="B354" s="36">
        <f t="shared" si="31"/>
        <v>55274</v>
      </c>
      <c r="C354" s="37">
        <f t="shared" si="32"/>
        <v>596.56768671915654</v>
      </c>
      <c r="D354" s="38"/>
      <c r="E354" s="38"/>
      <c r="F354" s="39">
        <f t="shared" si="33"/>
        <v>88</v>
      </c>
      <c r="G354" s="39">
        <f t="shared" si="34"/>
        <v>508.56768671915654</v>
      </c>
      <c r="H354" s="39">
        <f t="shared" si="35"/>
        <v>17092.221069397485</v>
      </c>
    </row>
    <row r="355" spans="1:8" x14ac:dyDescent="0.25">
      <c r="A355" s="35">
        <f t="shared" si="30"/>
        <v>330</v>
      </c>
      <c r="B355" s="36">
        <f t="shared" si="31"/>
        <v>55305</v>
      </c>
      <c r="C355" s="37">
        <f t="shared" si="32"/>
        <v>596.56768671915654</v>
      </c>
      <c r="D355" s="38"/>
      <c r="E355" s="38"/>
      <c r="F355" s="39">
        <f t="shared" si="33"/>
        <v>85.46</v>
      </c>
      <c r="G355" s="39">
        <f t="shared" si="34"/>
        <v>511.10768671915656</v>
      </c>
      <c r="H355" s="39">
        <f t="shared" si="35"/>
        <v>16581.11338267833</v>
      </c>
    </row>
    <row r="356" spans="1:8" x14ac:dyDescent="0.25">
      <c r="A356" s="35">
        <f t="shared" si="30"/>
        <v>331</v>
      </c>
      <c r="B356" s="36">
        <f t="shared" si="31"/>
        <v>55335</v>
      </c>
      <c r="C356" s="37">
        <f t="shared" si="32"/>
        <v>596.56768671915654</v>
      </c>
      <c r="D356" s="38"/>
      <c r="E356" s="38"/>
      <c r="F356" s="39">
        <f t="shared" si="33"/>
        <v>82.91</v>
      </c>
      <c r="G356" s="39">
        <f t="shared" si="34"/>
        <v>513.65768671915657</v>
      </c>
      <c r="H356" s="39">
        <f t="shared" si="35"/>
        <v>16067.455695959174</v>
      </c>
    </row>
    <row r="357" spans="1:8" x14ac:dyDescent="0.25">
      <c r="A357" s="35">
        <f t="shared" si="30"/>
        <v>332</v>
      </c>
      <c r="B357" s="36">
        <f t="shared" si="31"/>
        <v>55366</v>
      </c>
      <c r="C357" s="37">
        <f t="shared" si="32"/>
        <v>596.56768671915654</v>
      </c>
      <c r="D357" s="38"/>
      <c r="E357" s="38"/>
      <c r="F357" s="39">
        <f t="shared" si="33"/>
        <v>80.34</v>
      </c>
      <c r="G357" s="39">
        <f t="shared" si="34"/>
        <v>516.22768671915651</v>
      </c>
      <c r="H357" s="39">
        <f t="shared" si="35"/>
        <v>15551.228009240018</v>
      </c>
    </row>
    <row r="358" spans="1:8" x14ac:dyDescent="0.25">
      <c r="A358" s="35">
        <f t="shared" si="30"/>
        <v>333</v>
      </c>
      <c r="B358" s="36">
        <f t="shared" si="31"/>
        <v>55397</v>
      </c>
      <c r="C358" s="37">
        <f t="shared" si="32"/>
        <v>596.56768671915654</v>
      </c>
      <c r="D358" s="38"/>
      <c r="E358" s="38"/>
      <c r="F358" s="39">
        <f t="shared" si="33"/>
        <v>77.760000000000005</v>
      </c>
      <c r="G358" s="39">
        <f t="shared" si="34"/>
        <v>518.80768671915655</v>
      </c>
      <c r="H358" s="39">
        <f t="shared" si="35"/>
        <v>15032.420322520862</v>
      </c>
    </row>
    <row r="359" spans="1:8" x14ac:dyDescent="0.25">
      <c r="A359" s="35">
        <f t="shared" si="30"/>
        <v>334</v>
      </c>
      <c r="B359" s="36">
        <f t="shared" si="31"/>
        <v>55427</v>
      </c>
      <c r="C359" s="37">
        <f t="shared" si="32"/>
        <v>596.56768671915654</v>
      </c>
      <c r="D359" s="38"/>
      <c r="E359" s="38"/>
      <c r="F359" s="39">
        <f t="shared" si="33"/>
        <v>75.16</v>
      </c>
      <c r="G359" s="39">
        <f t="shared" si="34"/>
        <v>521.40768671915657</v>
      </c>
      <c r="H359" s="39">
        <f t="shared" si="35"/>
        <v>14511.012635801706</v>
      </c>
    </row>
    <row r="360" spans="1:8" x14ac:dyDescent="0.25">
      <c r="A360" s="35">
        <f t="shared" si="30"/>
        <v>335</v>
      </c>
      <c r="B360" s="36">
        <f t="shared" si="31"/>
        <v>55458</v>
      </c>
      <c r="C360" s="37">
        <f t="shared" si="32"/>
        <v>596.56768671915654</v>
      </c>
      <c r="D360" s="38"/>
      <c r="E360" s="38"/>
      <c r="F360" s="39">
        <f t="shared" si="33"/>
        <v>72.56</v>
      </c>
      <c r="G360" s="39">
        <f t="shared" si="34"/>
        <v>524.00768671915648</v>
      </c>
      <c r="H360" s="39">
        <f t="shared" si="35"/>
        <v>13987.00494908255</v>
      </c>
    </row>
    <row r="361" spans="1:8" x14ac:dyDescent="0.25">
      <c r="A361" s="35">
        <f t="shared" si="30"/>
        <v>336</v>
      </c>
      <c r="B361" s="36">
        <f t="shared" si="31"/>
        <v>55488</v>
      </c>
      <c r="C361" s="37">
        <f t="shared" si="32"/>
        <v>596.56768671915654</v>
      </c>
      <c r="D361" s="38"/>
      <c r="E361" s="38"/>
      <c r="F361" s="39">
        <f t="shared" si="33"/>
        <v>69.94</v>
      </c>
      <c r="G361" s="39">
        <f t="shared" si="34"/>
        <v>526.6276867191566</v>
      </c>
      <c r="H361" s="39">
        <f t="shared" si="35"/>
        <v>13460.377262363392</v>
      </c>
    </row>
    <row r="362" spans="1:8" x14ac:dyDescent="0.25">
      <c r="A362" s="35">
        <f t="shared" si="30"/>
        <v>337</v>
      </c>
      <c r="B362" s="36">
        <f t="shared" si="31"/>
        <v>55519</v>
      </c>
      <c r="C362" s="37">
        <f t="shared" si="32"/>
        <v>596.56768671915654</v>
      </c>
      <c r="D362" s="38"/>
      <c r="E362" s="38"/>
      <c r="F362" s="39">
        <f t="shared" si="33"/>
        <v>67.3</v>
      </c>
      <c r="G362" s="39">
        <f t="shared" si="34"/>
        <v>529.26768671915659</v>
      </c>
      <c r="H362" s="39">
        <f t="shared" si="35"/>
        <v>12931.109575644236</v>
      </c>
    </row>
    <row r="363" spans="1:8" x14ac:dyDescent="0.25">
      <c r="A363" s="35">
        <f t="shared" si="30"/>
        <v>338</v>
      </c>
      <c r="B363" s="36">
        <f t="shared" si="31"/>
        <v>55550</v>
      </c>
      <c r="C363" s="37">
        <f t="shared" si="32"/>
        <v>596.56768671915654</v>
      </c>
      <c r="D363" s="38"/>
      <c r="E363" s="38"/>
      <c r="F363" s="39">
        <f t="shared" si="33"/>
        <v>64.66</v>
      </c>
      <c r="G363" s="39">
        <f t="shared" si="34"/>
        <v>531.90768671915657</v>
      </c>
      <c r="H363" s="39">
        <f t="shared" si="35"/>
        <v>12399.201888925079</v>
      </c>
    </row>
    <row r="364" spans="1:8" x14ac:dyDescent="0.25">
      <c r="A364" s="35">
        <f t="shared" si="30"/>
        <v>339</v>
      </c>
      <c r="B364" s="36">
        <f t="shared" si="31"/>
        <v>55579</v>
      </c>
      <c r="C364" s="37">
        <f t="shared" si="32"/>
        <v>596.56768671915654</v>
      </c>
      <c r="D364" s="38"/>
      <c r="E364" s="38"/>
      <c r="F364" s="39">
        <f t="shared" si="33"/>
        <v>62</v>
      </c>
      <c r="G364" s="39">
        <f t="shared" si="34"/>
        <v>534.56768671915654</v>
      </c>
      <c r="H364" s="39">
        <f t="shared" si="35"/>
        <v>11864.634202205923</v>
      </c>
    </row>
    <row r="365" spans="1:8" x14ac:dyDescent="0.25">
      <c r="A365" s="35">
        <f t="shared" si="30"/>
        <v>340</v>
      </c>
      <c r="B365" s="36">
        <f t="shared" si="31"/>
        <v>55610</v>
      </c>
      <c r="C365" s="37">
        <f t="shared" si="32"/>
        <v>596.56768671915654</v>
      </c>
      <c r="D365" s="38"/>
      <c r="E365" s="38"/>
      <c r="F365" s="39">
        <f t="shared" si="33"/>
        <v>59.32</v>
      </c>
      <c r="G365" s="39">
        <f t="shared" si="34"/>
        <v>537.24768671915649</v>
      </c>
      <c r="H365" s="39">
        <f t="shared" si="35"/>
        <v>11327.386515486767</v>
      </c>
    </row>
    <row r="366" spans="1:8" x14ac:dyDescent="0.25">
      <c r="A366" s="35">
        <f t="shared" si="30"/>
        <v>341</v>
      </c>
      <c r="B366" s="36">
        <f t="shared" si="31"/>
        <v>55640</v>
      </c>
      <c r="C366" s="37">
        <f t="shared" si="32"/>
        <v>596.56768671915654</v>
      </c>
      <c r="D366" s="38"/>
      <c r="E366" s="38"/>
      <c r="F366" s="39">
        <f t="shared" si="33"/>
        <v>56.64</v>
      </c>
      <c r="G366" s="39">
        <f t="shared" si="34"/>
        <v>539.92768671915655</v>
      </c>
      <c r="H366" s="39">
        <f t="shared" si="35"/>
        <v>10787.458828767611</v>
      </c>
    </row>
    <row r="367" spans="1:8" x14ac:dyDescent="0.25">
      <c r="A367" s="35">
        <f t="shared" si="30"/>
        <v>342</v>
      </c>
      <c r="B367" s="36">
        <f t="shared" si="31"/>
        <v>55671</v>
      </c>
      <c r="C367" s="37">
        <f t="shared" si="32"/>
        <v>596.56768671915654</v>
      </c>
      <c r="D367" s="38"/>
      <c r="E367" s="38"/>
      <c r="F367" s="39">
        <f t="shared" si="33"/>
        <v>53.94</v>
      </c>
      <c r="G367" s="39">
        <f t="shared" si="34"/>
        <v>542.6276867191566</v>
      </c>
      <c r="H367" s="39">
        <f t="shared" si="35"/>
        <v>10244.831142048453</v>
      </c>
    </row>
    <row r="368" spans="1:8" x14ac:dyDescent="0.25">
      <c r="A368" s="35">
        <f t="shared" si="30"/>
        <v>343</v>
      </c>
      <c r="B368" s="36">
        <f t="shared" si="31"/>
        <v>55701</v>
      </c>
      <c r="C368" s="37">
        <f t="shared" si="32"/>
        <v>596.56768671915654</v>
      </c>
      <c r="D368" s="38"/>
      <c r="E368" s="38"/>
      <c r="F368" s="39">
        <f t="shared" si="33"/>
        <v>51.22</v>
      </c>
      <c r="G368" s="39">
        <f t="shared" si="34"/>
        <v>545.34768671915651</v>
      </c>
      <c r="H368" s="39">
        <f t="shared" si="35"/>
        <v>9699.4834553292967</v>
      </c>
    </row>
    <row r="369" spans="1:8" x14ac:dyDescent="0.25">
      <c r="A369" s="35">
        <f t="shared" si="30"/>
        <v>344</v>
      </c>
      <c r="B369" s="36">
        <f t="shared" si="31"/>
        <v>55732</v>
      </c>
      <c r="C369" s="37">
        <f t="shared" si="32"/>
        <v>596.56768671915654</v>
      </c>
      <c r="D369" s="38"/>
      <c r="E369" s="38"/>
      <c r="F369" s="39">
        <f t="shared" si="33"/>
        <v>48.5</v>
      </c>
      <c r="G369" s="39">
        <f t="shared" si="34"/>
        <v>548.06768671915654</v>
      </c>
      <c r="H369" s="39">
        <f t="shared" si="35"/>
        <v>9151.4157686101407</v>
      </c>
    </row>
    <row r="370" spans="1:8" x14ac:dyDescent="0.25">
      <c r="A370" s="35">
        <f t="shared" si="30"/>
        <v>345</v>
      </c>
      <c r="B370" s="36">
        <f t="shared" si="31"/>
        <v>55763</v>
      </c>
      <c r="C370" s="37">
        <f t="shared" si="32"/>
        <v>596.56768671915654</v>
      </c>
      <c r="D370" s="38"/>
      <c r="E370" s="38"/>
      <c r="F370" s="39">
        <f t="shared" si="33"/>
        <v>45.76</v>
      </c>
      <c r="G370" s="39">
        <f t="shared" si="34"/>
        <v>550.80768671915655</v>
      </c>
      <c r="H370" s="39">
        <f t="shared" si="35"/>
        <v>8600.608081890985</v>
      </c>
    </row>
    <row r="371" spans="1:8" x14ac:dyDescent="0.25">
      <c r="A371" s="35">
        <f t="shared" si="30"/>
        <v>346</v>
      </c>
      <c r="B371" s="36">
        <f t="shared" si="31"/>
        <v>55793</v>
      </c>
      <c r="C371" s="37">
        <f t="shared" si="32"/>
        <v>596.56768671915654</v>
      </c>
      <c r="D371" s="38"/>
      <c r="E371" s="38"/>
      <c r="F371" s="39">
        <f t="shared" si="33"/>
        <v>43</v>
      </c>
      <c r="G371" s="39">
        <f t="shared" si="34"/>
        <v>553.56768671915654</v>
      </c>
      <c r="H371" s="39">
        <f t="shared" si="35"/>
        <v>8047.0403951718281</v>
      </c>
    </row>
    <row r="372" spans="1:8" x14ac:dyDescent="0.25">
      <c r="A372" s="35">
        <f t="shared" si="30"/>
        <v>347</v>
      </c>
      <c r="B372" s="36">
        <f t="shared" si="31"/>
        <v>55824</v>
      </c>
      <c r="C372" s="37">
        <f t="shared" si="32"/>
        <v>596.56768671915654</v>
      </c>
      <c r="D372" s="38"/>
      <c r="E372" s="38"/>
      <c r="F372" s="39">
        <f t="shared" si="33"/>
        <v>40.24</v>
      </c>
      <c r="G372" s="39">
        <f t="shared" si="34"/>
        <v>556.32768671915653</v>
      </c>
      <c r="H372" s="39">
        <f t="shared" si="35"/>
        <v>7490.7127084526719</v>
      </c>
    </row>
    <row r="373" spans="1:8" x14ac:dyDescent="0.25">
      <c r="A373" s="35">
        <f t="shared" si="30"/>
        <v>348</v>
      </c>
      <c r="B373" s="36">
        <f t="shared" si="31"/>
        <v>55854</v>
      </c>
      <c r="C373" s="37">
        <f t="shared" si="32"/>
        <v>596.56768671915654</v>
      </c>
      <c r="D373" s="38"/>
      <c r="E373" s="38"/>
      <c r="F373" s="39">
        <f t="shared" si="33"/>
        <v>37.450000000000003</v>
      </c>
      <c r="G373" s="39">
        <f t="shared" si="34"/>
        <v>559.1176867191565</v>
      </c>
      <c r="H373" s="39">
        <f t="shared" si="35"/>
        <v>6931.5950217335158</v>
      </c>
    </row>
    <row r="374" spans="1:8" x14ac:dyDescent="0.25">
      <c r="A374" s="35">
        <f t="shared" si="30"/>
        <v>349</v>
      </c>
      <c r="B374" s="36">
        <f t="shared" si="31"/>
        <v>55885</v>
      </c>
      <c r="C374" s="37">
        <f t="shared" si="32"/>
        <v>596.56768671915654</v>
      </c>
      <c r="D374" s="38"/>
      <c r="E374" s="38"/>
      <c r="F374" s="39">
        <f t="shared" si="33"/>
        <v>34.659999999999997</v>
      </c>
      <c r="G374" s="39">
        <f t="shared" si="34"/>
        <v>561.90768671915657</v>
      </c>
      <c r="H374" s="39">
        <f t="shared" si="35"/>
        <v>6369.6873350143596</v>
      </c>
    </row>
    <row r="375" spans="1:8" x14ac:dyDescent="0.25">
      <c r="A375" s="35">
        <f t="shared" si="30"/>
        <v>350</v>
      </c>
      <c r="B375" s="36">
        <f t="shared" si="31"/>
        <v>55916</v>
      </c>
      <c r="C375" s="37">
        <f t="shared" si="32"/>
        <v>596.56768671915654</v>
      </c>
      <c r="D375" s="38"/>
      <c r="E375" s="38"/>
      <c r="F375" s="39">
        <f t="shared" si="33"/>
        <v>31.85</v>
      </c>
      <c r="G375" s="39">
        <f t="shared" si="34"/>
        <v>564.71768671915652</v>
      </c>
      <c r="H375" s="39">
        <f t="shared" si="35"/>
        <v>5804.9696482952031</v>
      </c>
    </row>
    <row r="376" spans="1:8" x14ac:dyDescent="0.25">
      <c r="A376" s="35">
        <f t="shared" si="30"/>
        <v>351</v>
      </c>
      <c r="B376" s="36">
        <f t="shared" si="31"/>
        <v>55944</v>
      </c>
      <c r="C376" s="37">
        <f t="shared" si="32"/>
        <v>596.56768671915654</v>
      </c>
      <c r="D376" s="38"/>
      <c r="E376" s="38"/>
      <c r="F376" s="39">
        <f t="shared" si="33"/>
        <v>29.02</v>
      </c>
      <c r="G376" s="39">
        <f t="shared" si="34"/>
        <v>567.54768671915656</v>
      </c>
      <c r="H376" s="39">
        <f t="shared" si="35"/>
        <v>5237.4219615760467</v>
      </c>
    </row>
    <row r="377" spans="1:8" x14ac:dyDescent="0.25">
      <c r="A377" s="35">
        <f t="shared" si="30"/>
        <v>352</v>
      </c>
      <c r="B377" s="36">
        <f t="shared" si="31"/>
        <v>55975</v>
      </c>
      <c r="C377" s="37">
        <f t="shared" si="32"/>
        <v>596.56768671915654</v>
      </c>
      <c r="D377" s="38"/>
      <c r="E377" s="38"/>
      <c r="F377" s="39">
        <f t="shared" si="33"/>
        <v>26.19</v>
      </c>
      <c r="G377" s="39">
        <f t="shared" si="34"/>
        <v>570.37768671915649</v>
      </c>
      <c r="H377" s="39">
        <f t="shared" si="35"/>
        <v>4667.0442748568903</v>
      </c>
    </row>
    <row r="378" spans="1:8" x14ac:dyDescent="0.25">
      <c r="A378" s="35">
        <f t="shared" si="30"/>
        <v>353</v>
      </c>
      <c r="B378" s="36">
        <f t="shared" si="31"/>
        <v>56005</v>
      </c>
      <c r="C378" s="37">
        <f t="shared" si="32"/>
        <v>596.56768671915654</v>
      </c>
      <c r="D378" s="38"/>
      <c r="E378" s="38"/>
      <c r="F378" s="39">
        <f t="shared" si="33"/>
        <v>23.34</v>
      </c>
      <c r="G378" s="39">
        <f t="shared" si="34"/>
        <v>573.22768671915651</v>
      </c>
      <c r="H378" s="39">
        <f t="shared" si="35"/>
        <v>4093.8165881377336</v>
      </c>
    </row>
    <row r="379" spans="1:8" x14ac:dyDescent="0.25">
      <c r="A379" s="35">
        <f t="shared" si="30"/>
        <v>354</v>
      </c>
      <c r="B379" s="36">
        <f t="shared" si="31"/>
        <v>56036</v>
      </c>
      <c r="C379" s="37">
        <f t="shared" si="32"/>
        <v>596.56768671915654</v>
      </c>
      <c r="D379" s="38"/>
      <c r="E379" s="38"/>
      <c r="F379" s="39">
        <f t="shared" si="33"/>
        <v>20.47</v>
      </c>
      <c r="G379" s="39">
        <f t="shared" si="34"/>
        <v>576.09768671915651</v>
      </c>
      <c r="H379" s="39">
        <f t="shared" si="35"/>
        <v>3517.7189014185769</v>
      </c>
    </row>
    <row r="380" spans="1:8" x14ac:dyDescent="0.25">
      <c r="A380" s="35">
        <f t="shared" si="30"/>
        <v>355</v>
      </c>
      <c r="B380" s="36">
        <f t="shared" si="31"/>
        <v>56066</v>
      </c>
      <c r="C380" s="37">
        <f t="shared" si="32"/>
        <v>596.56768671915654</v>
      </c>
      <c r="D380" s="38"/>
      <c r="E380" s="38"/>
      <c r="F380" s="39">
        <f t="shared" si="33"/>
        <v>17.59</v>
      </c>
      <c r="G380" s="39">
        <f t="shared" si="34"/>
        <v>578.97768671915651</v>
      </c>
      <c r="H380" s="39">
        <f t="shared" si="35"/>
        <v>2938.7412146994202</v>
      </c>
    </row>
    <row r="381" spans="1:8" x14ac:dyDescent="0.25">
      <c r="A381" s="35">
        <f t="shared" si="30"/>
        <v>356</v>
      </c>
      <c r="B381" s="36">
        <f t="shared" si="31"/>
        <v>56097</v>
      </c>
      <c r="C381" s="37">
        <f t="shared" si="32"/>
        <v>596.56768671915654</v>
      </c>
      <c r="D381" s="38"/>
      <c r="E381" s="38"/>
      <c r="F381" s="39">
        <f t="shared" si="33"/>
        <v>14.69</v>
      </c>
      <c r="G381" s="39">
        <f t="shared" si="34"/>
        <v>581.87768671915649</v>
      </c>
      <c r="H381" s="39">
        <f t="shared" si="35"/>
        <v>2356.8635279802638</v>
      </c>
    </row>
    <row r="382" spans="1:8" x14ac:dyDescent="0.25">
      <c r="A382" s="35">
        <f t="shared" si="30"/>
        <v>357</v>
      </c>
      <c r="B382" s="36">
        <f t="shared" si="31"/>
        <v>56128</v>
      </c>
      <c r="C382" s="37">
        <f t="shared" si="32"/>
        <v>596.56768671915654</v>
      </c>
      <c r="D382" s="38"/>
      <c r="E382" s="38"/>
      <c r="F382" s="39">
        <f t="shared" si="33"/>
        <v>11.78</v>
      </c>
      <c r="G382" s="39">
        <f t="shared" si="34"/>
        <v>584.78768671915657</v>
      </c>
      <c r="H382" s="39">
        <f t="shared" si="35"/>
        <v>1772.0758412611071</v>
      </c>
    </row>
    <row r="383" spans="1:8" x14ac:dyDescent="0.25">
      <c r="A383" s="35">
        <f t="shared" si="30"/>
        <v>358</v>
      </c>
      <c r="B383" s="36">
        <f t="shared" si="31"/>
        <v>56158</v>
      </c>
      <c r="C383" s="37">
        <f t="shared" si="32"/>
        <v>596.56768671915654</v>
      </c>
      <c r="D383" s="38"/>
      <c r="E383" s="38"/>
      <c r="F383" s="39">
        <f t="shared" si="33"/>
        <v>8.86</v>
      </c>
      <c r="G383" s="39">
        <f t="shared" si="34"/>
        <v>587.70768671915653</v>
      </c>
      <c r="H383" s="39">
        <f t="shared" si="35"/>
        <v>1184.3681545419506</v>
      </c>
    </row>
    <row r="384" spans="1:8" x14ac:dyDescent="0.25">
      <c r="A384" s="35">
        <f t="shared" si="30"/>
        <v>359</v>
      </c>
      <c r="B384" s="36">
        <f t="shared" si="31"/>
        <v>56189</v>
      </c>
      <c r="C384" s="37">
        <f t="shared" si="32"/>
        <v>596.56768671915654</v>
      </c>
      <c r="D384" s="38"/>
      <c r="E384" s="38"/>
      <c r="F384" s="39">
        <f t="shared" si="33"/>
        <v>5.92</v>
      </c>
      <c r="G384" s="39">
        <f t="shared" si="34"/>
        <v>590.64768671915658</v>
      </c>
      <c r="H384" s="39">
        <f t="shared" si="35"/>
        <v>593.72046782279403</v>
      </c>
    </row>
    <row r="385" spans="1:8" x14ac:dyDescent="0.25">
      <c r="A385" s="35">
        <f t="shared" si="30"/>
        <v>360</v>
      </c>
      <c r="B385" s="36">
        <f t="shared" si="31"/>
        <v>56219</v>
      </c>
      <c r="C385" s="37">
        <f t="shared" si="32"/>
        <v>596.69000000000005</v>
      </c>
      <c r="D385" s="38"/>
      <c r="E385" s="38"/>
      <c r="F385" s="39">
        <f t="shared" si="33"/>
        <v>2.97</v>
      </c>
      <c r="G385" s="39">
        <f t="shared" si="34"/>
        <v>593.72</v>
      </c>
      <c r="H385" s="39">
        <f t="shared" si="35"/>
        <v>4.6782279400758853E-4</v>
      </c>
    </row>
    <row r="386" spans="1:8" x14ac:dyDescent="0.25">
      <c r="A386" s="35" t="str">
        <f t="shared" si="30"/>
        <v/>
      </c>
      <c r="B386" s="36" t="str">
        <f t="shared" si="31"/>
        <v/>
      </c>
      <c r="C386" s="37" t="str">
        <f t="shared" si="32"/>
        <v/>
      </c>
      <c r="D386" s="38"/>
      <c r="E386" s="38"/>
      <c r="F386" s="39" t="str">
        <f t="shared" si="33"/>
        <v/>
      </c>
      <c r="G386" s="39" t="str">
        <f t="shared" si="34"/>
        <v/>
      </c>
      <c r="H386" s="39" t="str">
        <f t="shared" si="35"/>
        <v/>
      </c>
    </row>
    <row r="387" spans="1:8" x14ac:dyDescent="0.25">
      <c r="A387" s="35" t="str">
        <f t="shared" si="30"/>
        <v/>
      </c>
      <c r="B387" s="36" t="str">
        <f t="shared" si="31"/>
        <v/>
      </c>
      <c r="C387" s="37" t="str">
        <f t="shared" si="32"/>
        <v/>
      </c>
      <c r="D387" s="38"/>
      <c r="E387" s="38"/>
      <c r="F387" s="39" t="str">
        <f t="shared" si="33"/>
        <v/>
      </c>
      <c r="G387" s="39" t="str">
        <f t="shared" si="34"/>
        <v/>
      </c>
      <c r="H387" s="39" t="str">
        <f t="shared" si="35"/>
        <v/>
      </c>
    </row>
    <row r="388" spans="1:8" x14ac:dyDescent="0.25">
      <c r="A388" s="35" t="str">
        <f t="shared" si="30"/>
        <v/>
      </c>
      <c r="B388" s="36" t="str">
        <f t="shared" si="31"/>
        <v/>
      </c>
      <c r="C388" s="37" t="str">
        <f t="shared" si="32"/>
        <v/>
      </c>
      <c r="D388" s="38"/>
      <c r="E388" s="38"/>
      <c r="F388" s="39" t="str">
        <f t="shared" si="33"/>
        <v/>
      </c>
      <c r="G388" s="39" t="str">
        <f t="shared" si="34"/>
        <v/>
      </c>
      <c r="H388" s="39" t="str">
        <f t="shared" si="35"/>
        <v/>
      </c>
    </row>
    <row r="389" spans="1:8" x14ac:dyDescent="0.25">
      <c r="A389" s="35" t="str">
        <f t="shared" si="30"/>
        <v/>
      </c>
      <c r="B389" s="36" t="str">
        <f t="shared" si="31"/>
        <v/>
      </c>
      <c r="C389" s="37" t="str">
        <f t="shared" si="32"/>
        <v/>
      </c>
      <c r="D389" s="38"/>
      <c r="E389" s="38"/>
      <c r="F389" s="39" t="str">
        <f t="shared" si="33"/>
        <v/>
      </c>
      <c r="G389" s="39" t="str">
        <f t="shared" si="34"/>
        <v/>
      </c>
      <c r="H389" s="39" t="str">
        <f t="shared" si="35"/>
        <v/>
      </c>
    </row>
    <row r="390" spans="1:8" x14ac:dyDescent="0.25">
      <c r="A390" s="35" t="str">
        <f t="shared" si="30"/>
        <v/>
      </c>
      <c r="B390" s="36" t="str">
        <f t="shared" si="31"/>
        <v/>
      </c>
      <c r="C390" s="37" t="str">
        <f t="shared" si="32"/>
        <v/>
      </c>
      <c r="D390" s="38"/>
      <c r="E390" s="38"/>
      <c r="F390" s="39" t="str">
        <f t="shared" si="33"/>
        <v/>
      </c>
      <c r="G390" s="39" t="str">
        <f t="shared" si="34"/>
        <v/>
      </c>
      <c r="H390" s="39" t="str">
        <f t="shared" si="35"/>
        <v/>
      </c>
    </row>
    <row r="391" spans="1:8" x14ac:dyDescent="0.25">
      <c r="A391" s="35" t="str">
        <f t="shared" si="30"/>
        <v/>
      </c>
      <c r="B391" s="36" t="str">
        <f t="shared" si="31"/>
        <v/>
      </c>
      <c r="C391" s="37" t="str">
        <f t="shared" si="32"/>
        <v/>
      </c>
      <c r="D391" s="38"/>
      <c r="E391" s="38"/>
      <c r="F391" s="39" t="str">
        <f t="shared" si="33"/>
        <v/>
      </c>
      <c r="G391" s="39" t="str">
        <f t="shared" si="34"/>
        <v/>
      </c>
      <c r="H391" s="39" t="str">
        <f t="shared" si="35"/>
        <v/>
      </c>
    </row>
    <row r="392" spans="1:8" x14ac:dyDescent="0.25">
      <c r="A392" s="35" t="str">
        <f t="shared" si="30"/>
        <v/>
      </c>
      <c r="B392" s="36" t="str">
        <f t="shared" si="31"/>
        <v/>
      </c>
      <c r="C392" s="37" t="str">
        <f t="shared" si="32"/>
        <v/>
      </c>
      <c r="D392" s="38"/>
      <c r="E392" s="38"/>
      <c r="F392" s="39" t="str">
        <f t="shared" si="33"/>
        <v/>
      </c>
      <c r="G392" s="39" t="str">
        <f t="shared" si="34"/>
        <v/>
      </c>
      <c r="H392" s="39" t="str">
        <f t="shared" si="35"/>
        <v/>
      </c>
    </row>
    <row r="393" spans="1:8" x14ac:dyDescent="0.25">
      <c r="A393" s="35" t="str">
        <f t="shared" si="30"/>
        <v/>
      </c>
      <c r="B393" s="36" t="str">
        <f t="shared" si="31"/>
        <v/>
      </c>
      <c r="C393" s="37" t="str">
        <f t="shared" si="32"/>
        <v/>
      </c>
      <c r="D393" s="38"/>
      <c r="E393" s="38"/>
      <c r="F393" s="39" t="str">
        <f t="shared" si="33"/>
        <v/>
      </c>
      <c r="G393" s="39" t="str">
        <f t="shared" si="34"/>
        <v/>
      </c>
      <c r="H393" s="39" t="str">
        <f t="shared" si="35"/>
        <v/>
      </c>
    </row>
    <row r="394" spans="1:8" x14ac:dyDescent="0.25">
      <c r="A394" s="35" t="str">
        <f t="shared" si="30"/>
        <v/>
      </c>
      <c r="B394" s="36" t="str">
        <f t="shared" si="31"/>
        <v/>
      </c>
      <c r="C394" s="37" t="str">
        <f t="shared" si="32"/>
        <v/>
      </c>
      <c r="D394" s="38"/>
      <c r="E394" s="38"/>
      <c r="F394" s="39" t="str">
        <f t="shared" si="33"/>
        <v/>
      </c>
      <c r="G394" s="39" t="str">
        <f t="shared" si="34"/>
        <v/>
      </c>
      <c r="H394" s="39" t="str">
        <f t="shared" si="35"/>
        <v/>
      </c>
    </row>
    <row r="395" spans="1:8" x14ac:dyDescent="0.25">
      <c r="A395" s="35" t="str">
        <f t="shared" si="30"/>
        <v/>
      </c>
      <c r="B395" s="36" t="str">
        <f t="shared" si="31"/>
        <v/>
      </c>
      <c r="C395" s="37" t="str">
        <f t="shared" si="32"/>
        <v/>
      </c>
      <c r="D395" s="38"/>
      <c r="E395" s="38"/>
      <c r="F395" s="39" t="str">
        <f t="shared" si="33"/>
        <v/>
      </c>
      <c r="G395" s="39" t="str">
        <f t="shared" si="34"/>
        <v/>
      </c>
      <c r="H395" s="39" t="str">
        <f t="shared" si="35"/>
        <v/>
      </c>
    </row>
    <row r="396" spans="1:8" x14ac:dyDescent="0.25">
      <c r="A396" s="35" t="str">
        <f t="shared" si="30"/>
        <v/>
      </c>
      <c r="B396" s="36" t="str">
        <f t="shared" si="31"/>
        <v/>
      </c>
      <c r="C396" s="37" t="str">
        <f t="shared" si="32"/>
        <v/>
      </c>
      <c r="D396" s="38"/>
      <c r="E396" s="38"/>
      <c r="F396" s="39" t="str">
        <f t="shared" si="33"/>
        <v/>
      </c>
      <c r="G396" s="39" t="str">
        <f t="shared" si="34"/>
        <v/>
      </c>
      <c r="H396" s="39" t="str">
        <f t="shared" si="35"/>
        <v/>
      </c>
    </row>
    <row r="397" spans="1:8" x14ac:dyDescent="0.25">
      <c r="A397" s="35" t="str">
        <f t="shared" si="30"/>
        <v/>
      </c>
      <c r="B397" s="36" t="str">
        <f t="shared" si="31"/>
        <v/>
      </c>
      <c r="C397" s="37" t="str">
        <f t="shared" si="32"/>
        <v/>
      </c>
      <c r="D397" s="38"/>
      <c r="E397" s="38"/>
      <c r="F397" s="39" t="str">
        <f t="shared" si="33"/>
        <v/>
      </c>
      <c r="G397" s="39" t="str">
        <f t="shared" si="34"/>
        <v/>
      </c>
      <c r="H397" s="39" t="str">
        <f t="shared" si="35"/>
        <v/>
      </c>
    </row>
    <row r="398" spans="1:8" x14ac:dyDescent="0.25">
      <c r="A398" s="35" t="str">
        <f t="shared" si="30"/>
        <v/>
      </c>
      <c r="B398" s="36" t="str">
        <f t="shared" si="31"/>
        <v/>
      </c>
      <c r="C398" s="37" t="str">
        <f t="shared" si="32"/>
        <v/>
      </c>
      <c r="D398" s="38"/>
      <c r="E398" s="38"/>
      <c r="F398" s="39" t="str">
        <f t="shared" si="33"/>
        <v/>
      </c>
      <c r="G398" s="39" t="str">
        <f t="shared" si="34"/>
        <v/>
      </c>
      <c r="H398" s="39" t="str">
        <f t="shared" si="35"/>
        <v/>
      </c>
    </row>
    <row r="399" spans="1:8" x14ac:dyDescent="0.25">
      <c r="A399" s="35" t="str">
        <f t="shared" si="30"/>
        <v/>
      </c>
      <c r="B399" s="36" t="str">
        <f t="shared" si="31"/>
        <v/>
      </c>
      <c r="C399" s="37" t="str">
        <f t="shared" si="32"/>
        <v/>
      </c>
      <c r="D399" s="38"/>
      <c r="E399" s="38"/>
      <c r="F399" s="39" t="str">
        <f t="shared" si="33"/>
        <v/>
      </c>
      <c r="G399" s="39" t="str">
        <f t="shared" si="34"/>
        <v/>
      </c>
      <c r="H399" s="39" t="str">
        <f t="shared" si="35"/>
        <v/>
      </c>
    </row>
    <row r="400" spans="1:8" x14ac:dyDescent="0.25">
      <c r="A400" s="35" t="str">
        <f t="shared" si="30"/>
        <v/>
      </c>
      <c r="B400" s="36" t="str">
        <f t="shared" si="31"/>
        <v/>
      </c>
      <c r="C400" s="37" t="str">
        <f t="shared" si="32"/>
        <v/>
      </c>
      <c r="D400" s="38"/>
      <c r="E400" s="38"/>
      <c r="F400" s="39" t="str">
        <f t="shared" si="33"/>
        <v/>
      </c>
      <c r="G400" s="39" t="str">
        <f t="shared" si="34"/>
        <v/>
      </c>
      <c r="H400" s="39" t="str">
        <f t="shared" si="35"/>
        <v/>
      </c>
    </row>
    <row r="401" spans="1:8" x14ac:dyDescent="0.25">
      <c r="A401" s="35" t="str">
        <f t="shared" si="30"/>
        <v/>
      </c>
      <c r="B401" s="36" t="str">
        <f t="shared" si="31"/>
        <v/>
      </c>
      <c r="C401" s="37" t="str">
        <f t="shared" si="32"/>
        <v/>
      </c>
      <c r="D401" s="38"/>
      <c r="E401" s="38"/>
      <c r="F401" s="39" t="str">
        <f t="shared" si="33"/>
        <v/>
      </c>
      <c r="G401" s="39" t="str">
        <f t="shared" si="34"/>
        <v/>
      </c>
      <c r="H401" s="39" t="str">
        <f t="shared" si="35"/>
        <v/>
      </c>
    </row>
    <row r="402" spans="1:8" x14ac:dyDescent="0.25">
      <c r="A402" s="35" t="str">
        <f t="shared" si="30"/>
        <v/>
      </c>
      <c r="B402" s="36" t="str">
        <f t="shared" si="31"/>
        <v/>
      </c>
      <c r="C402" s="37" t="str">
        <f t="shared" si="32"/>
        <v/>
      </c>
      <c r="D402" s="38"/>
      <c r="E402" s="38"/>
      <c r="F402" s="39" t="str">
        <f t="shared" si="33"/>
        <v/>
      </c>
      <c r="G402" s="39" t="str">
        <f t="shared" si="34"/>
        <v/>
      </c>
      <c r="H402" s="39" t="str">
        <f t="shared" si="35"/>
        <v/>
      </c>
    </row>
    <row r="403" spans="1:8" x14ac:dyDescent="0.25">
      <c r="A403" s="35" t="str">
        <f t="shared" si="30"/>
        <v/>
      </c>
      <c r="B403" s="36" t="str">
        <f t="shared" si="31"/>
        <v/>
      </c>
      <c r="C403" s="37" t="str">
        <f t="shared" si="32"/>
        <v/>
      </c>
      <c r="D403" s="38"/>
      <c r="E403" s="38"/>
      <c r="F403" s="39" t="str">
        <f t="shared" si="33"/>
        <v/>
      </c>
      <c r="G403" s="39" t="str">
        <f t="shared" si="34"/>
        <v/>
      </c>
      <c r="H403" s="39" t="str">
        <f t="shared" si="35"/>
        <v/>
      </c>
    </row>
    <row r="404" spans="1:8" x14ac:dyDescent="0.25">
      <c r="A404" s="35" t="str">
        <f t="shared" si="30"/>
        <v/>
      </c>
      <c r="B404" s="36" t="str">
        <f t="shared" si="31"/>
        <v/>
      </c>
      <c r="C404" s="37" t="str">
        <f t="shared" si="32"/>
        <v/>
      </c>
      <c r="D404" s="38"/>
      <c r="E404" s="38"/>
      <c r="F404" s="39" t="str">
        <f t="shared" si="33"/>
        <v/>
      </c>
      <c r="G404" s="39" t="str">
        <f t="shared" si="34"/>
        <v/>
      </c>
      <c r="H404" s="39" t="str">
        <f t="shared" si="35"/>
        <v/>
      </c>
    </row>
    <row r="405" spans="1:8" x14ac:dyDescent="0.25">
      <c r="A405" s="35" t="str">
        <f t="shared" si="30"/>
        <v/>
      </c>
      <c r="B405" s="36" t="str">
        <f t="shared" si="31"/>
        <v/>
      </c>
      <c r="C405" s="37" t="str">
        <f t="shared" si="32"/>
        <v/>
      </c>
      <c r="D405" s="38"/>
      <c r="E405" s="38"/>
      <c r="F405" s="39" t="str">
        <f t="shared" si="33"/>
        <v/>
      </c>
      <c r="G405" s="39" t="str">
        <f t="shared" si="34"/>
        <v/>
      </c>
      <c r="H405" s="39" t="str">
        <f t="shared" si="35"/>
        <v/>
      </c>
    </row>
    <row r="406" spans="1:8" x14ac:dyDescent="0.25">
      <c r="A406" s="35" t="str">
        <f t="shared" si="30"/>
        <v/>
      </c>
      <c r="B406" s="36" t="str">
        <f t="shared" si="31"/>
        <v/>
      </c>
      <c r="C406" s="37" t="str">
        <f t="shared" si="32"/>
        <v/>
      </c>
      <c r="D406" s="38"/>
      <c r="E406" s="38"/>
      <c r="F406" s="39" t="str">
        <f t="shared" si="33"/>
        <v/>
      </c>
      <c r="G406" s="39" t="str">
        <f t="shared" si="34"/>
        <v/>
      </c>
      <c r="H406" s="39" t="str">
        <f t="shared" si="35"/>
        <v/>
      </c>
    </row>
    <row r="407" spans="1:8" x14ac:dyDescent="0.25">
      <c r="A407" s="35" t="str">
        <f t="shared" si="30"/>
        <v/>
      </c>
      <c r="B407" s="36" t="str">
        <f t="shared" si="31"/>
        <v/>
      </c>
      <c r="C407" s="37" t="str">
        <f t="shared" si="32"/>
        <v/>
      </c>
      <c r="D407" s="38"/>
      <c r="E407" s="38"/>
      <c r="F407" s="39" t="str">
        <f t="shared" si="33"/>
        <v/>
      </c>
      <c r="G407" s="39" t="str">
        <f t="shared" si="34"/>
        <v/>
      </c>
      <c r="H407" s="39" t="str">
        <f t="shared" si="35"/>
        <v/>
      </c>
    </row>
    <row r="408" spans="1:8" x14ac:dyDescent="0.25">
      <c r="A408" s="35" t="str">
        <f t="shared" si="30"/>
        <v/>
      </c>
      <c r="B408" s="36" t="str">
        <f t="shared" si="31"/>
        <v/>
      </c>
      <c r="C408" s="37" t="str">
        <f t="shared" si="32"/>
        <v/>
      </c>
      <c r="D408" s="38"/>
      <c r="E408" s="38"/>
      <c r="F408" s="39" t="str">
        <f t="shared" si="33"/>
        <v/>
      </c>
      <c r="G408" s="39" t="str">
        <f t="shared" si="34"/>
        <v/>
      </c>
      <c r="H408" s="39" t="str">
        <f t="shared" si="35"/>
        <v/>
      </c>
    </row>
    <row r="409" spans="1:8" x14ac:dyDescent="0.25">
      <c r="A409" s="35" t="str">
        <f t="shared" si="30"/>
        <v/>
      </c>
      <c r="B409" s="36" t="str">
        <f t="shared" si="31"/>
        <v/>
      </c>
      <c r="C409" s="37" t="str">
        <f t="shared" si="32"/>
        <v/>
      </c>
      <c r="D409" s="38"/>
      <c r="E409" s="38"/>
      <c r="F409" s="39" t="str">
        <f t="shared" si="33"/>
        <v/>
      </c>
      <c r="G409" s="39" t="str">
        <f t="shared" si="34"/>
        <v/>
      </c>
      <c r="H409" s="39" t="str">
        <f t="shared" si="35"/>
        <v/>
      </c>
    </row>
    <row r="410" spans="1:8" x14ac:dyDescent="0.25">
      <c r="A410" s="35" t="str">
        <f t="shared" ref="A410:A473" si="36">IF(H409="","",IF(roundOpt,IF(OR(A409&gt;=nPer,ROUND(H409,2)&lt;=0),"",A409+1),IF(OR(A409&gt;=nPer,H409&lt;=0),"",A409+1)))</f>
        <v/>
      </c>
      <c r="B410" s="36" t="str">
        <f t="shared" ref="B410:B473" si="37">IF(A410="","",IF(OR(periods_per_year=26,periods_per_year=52),IF(periods_per_year=26,IF(A410=1,beginDate,B409+14),IF(periods_per_year=52,IF(A410=1,beginDate,B409+7),"n/a")),IF(periods_per_year=24,DATE(YEAR(beginDate),MONTH(beginDate)+(A410-1)/2+IF(AND(DAY(beginDate)&gt;=15,MOD(A410,2)=0),1,0),IF(MOD(A410,2)=0,IF(DAY(beginDate)&gt;=15,DAY(beginDate)-14,DAY(beginDate)+14),DAY(beginDate))),IF(DAY(DATE(YEAR(beginDate),MONTH(beginDate)+(A410-1)*monthsPerPeriod,DAY(beginDate)))&lt;&gt;DAY(beginDate),DATE(YEAR(beginDate),MONTH(beginDate)+(A410-1)*monthsPerPeriod+1,0),DATE(YEAR(beginDate),MONTH(beginDate)+(A410-1)*monthsPerPeriod,DAY(beginDate))))))</f>
        <v/>
      </c>
      <c r="C410" s="37" t="str">
        <f t="shared" ref="C410:C473" si="38">IF(A410="","",IF(roundOpt,IF(OR(A410=nPer,payment&gt;ROUND((1+rate)*H409,2)),ROUND((1+rate)*H409,2),payment),IF(OR(A410=nPer,payment&gt;(1+rate)*H409),(1+rate)*H409,payment)))</f>
        <v/>
      </c>
      <c r="D410" s="38"/>
      <c r="E410" s="38"/>
      <c r="F410" s="39" t="str">
        <f t="shared" ref="F410:F473" si="39">IF(A410="","",IF(AND(A410=1,pmtType=1),0,IF(roundOpt,ROUND(rate*H409,2),rate*H409)))</f>
        <v/>
      </c>
      <c r="G410" s="39" t="str">
        <f t="shared" ref="G410:G473" si="40">IF(A410="","",C410-F410+D410)</f>
        <v/>
      </c>
      <c r="H410" s="39" t="str">
        <f t="shared" ref="H410:H473" si="41">IF(A410="","",H409-G410)</f>
        <v/>
      </c>
    </row>
    <row r="411" spans="1:8" x14ac:dyDescent="0.25">
      <c r="A411" s="35" t="str">
        <f t="shared" si="36"/>
        <v/>
      </c>
      <c r="B411" s="36" t="str">
        <f t="shared" si="37"/>
        <v/>
      </c>
      <c r="C411" s="37" t="str">
        <f t="shared" si="38"/>
        <v/>
      </c>
      <c r="D411" s="38"/>
      <c r="E411" s="38"/>
      <c r="F411" s="39" t="str">
        <f t="shared" si="39"/>
        <v/>
      </c>
      <c r="G411" s="39" t="str">
        <f t="shared" si="40"/>
        <v/>
      </c>
      <c r="H411" s="39" t="str">
        <f t="shared" si="41"/>
        <v/>
      </c>
    </row>
    <row r="412" spans="1:8" x14ac:dyDescent="0.25">
      <c r="A412" s="35" t="str">
        <f t="shared" si="36"/>
        <v/>
      </c>
      <c r="B412" s="36" t="str">
        <f t="shared" si="37"/>
        <v/>
      </c>
      <c r="C412" s="37" t="str">
        <f t="shared" si="38"/>
        <v/>
      </c>
      <c r="D412" s="38"/>
      <c r="E412" s="38"/>
      <c r="F412" s="39" t="str">
        <f t="shared" si="39"/>
        <v/>
      </c>
      <c r="G412" s="39" t="str">
        <f t="shared" si="40"/>
        <v/>
      </c>
      <c r="H412" s="39" t="str">
        <f t="shared" si="41"/>
        <v/>
      </c>
    </row>
    <row r="413" spans="1:8" x14ac:dyDescent="0.25">
      <c r="A413" s="35" t="str">
        <f t="shared" si="36"/>
        <v/>
      </c>
      <c r="B413" s="36" t="str">
        <f t="shared" si="37"/>
        <v/>
      </c>
      <c r="C413" s="37" t="str">
        <f t="shared" si="38"/>
        <v/>
      </c>
      <c r="D413" s="38"/>
      <c r="E413" s="38"/>
      <c r="F413" s="39" t="str">
        <f t="shared" si="39"/>
        <v/>
      </c>
      <c r="G413" s="39" t="str">
        <f t="shared" si="40"/>
        <v/>
      </c>
      <c r="H413" s="39" t="str">
        <f t="shared" si="41"/>
        <v/>
      </c>
    </row>
    <row r="414" spans="1:8" x14ac:dyDescent="0.25">
      <c r="A414" s="35" t="str">
        <f t="shared" si="36"/>
        <v/>
      </c>
      <c r="B414" s="36" t="str">
        <f t="shared" si="37"/>
        <v/>
      </c>
      <c r="C414" s="37" t="str">
        <f t="shared" si="38"/>
        <v/>
      </c>
      <c r="D414" s="38"/>
      <c r="E414" s="38"/>
      <c r="F414" s="39" t="str">
        <f t="shared" si="39"/>
        <v/>
      </c>
      <c r="G414" s="39" t="str">
        <f t="shared" si="40"/>
        <v/>
      </c>
      <c r="H414" s="39" t="str">
        <f t="shared" si="41"/>
        <v/>
      </c>
    </row>
    <row r="415" spans="1:8" x14ac:dyDescent="0.25">
      <c r="A415" s="35" t="str">
        <f t="shared" si="36"/>
        <v/>
      </c>
      <c r="B415" s="36" t="str">
        <f t="shared" si="37"/>
        <v/>
      </c>
      <c r="C415" s="37" t="str">
        <f t="shared" si="38"/>
        <v/>
      </c>
      <c r="D415" s="38"/>
      <c r="E415" s="38"/>
      <c r="F415" s="39" t="str">
        <f t="shared" si="39"/>
        <v/>
      </c>
      <c r="G415" s="39" t="str">
        <f t="shared" si="40"/>
        <v/>
      </c>
      <c r="H415" s="39" t="str">
        <f t="shared" si="41"/>
        <v/>
      </c>
    </row>
    <row r="416" spans="1:8" x14ac:dyDescent="0.25">
      <c r="A416" s="35" t="str">
        <f t="shared" si="36"/>
        <v/>
      </c>
      <c r="B416" s="36" t="str">
        <f t="shared" si="37"/>
        <v/>
      </c>
      <c r="C416" s="37" t="str">
        <f t="shared" si="38"/>
        <v/>
      </c>
      <c r="D416" s="38"/>
      <c r="E416" s="38"/>
      <c r="F416" s="39" t="str">
        <f t="shared" si="39"/>
        <v/>
      </c>
      <c r="G416" s="39" t="str">
        <f t="shared" si="40"/>
        <v/>
      </c>
      <c r="H416" s="39" t="str">
        <f t="shared" si="41"/>
        <v/>
      </c>
    </row>
    <row r="417" spans="1:8" x14ac:dyDescent="0.25">
      <c r="A417" s="35" t="str">
        <f t="shared" si="36"/>
        <v/>
      </c>
      <c r="B417" s="36" t="str">
        <f t="shared" si="37"/>
        <v/>
      </c>
      <c r="C417" s="37" t="str">
        <f t="shared" si="38"/>
        <v/>
      </c>
      <c r="D417" s="38"/>
      <c r="E417" s="38"/>
      <c r="F417" s="39" t="str">
        <f t="shared" si="39"/>
        <v/>
      </c>
      <c r="G417" s="39" t="str">
        <f t="shared" si="40"/>
        <v/>
      </c>
      <c r="H417" s="39" t="str">
        <f t="shared" si="41"/>
        <v/>
      </c>
    </row>
    <row r="418" spans="1:8" x14ac:dyDescent="0.25">
      <c r="A418" s="35" t="str">
        <f t="shared" si="36"/>
        <v/>
      </c>
      <c r="B418" s="36" t="str">
        <f t="shared" si="37"/>
        <v/>
      </c>
      <c r="C418" s="37" t="str">
        <f t="shared" si="38"/>
        <v/>
      </c>
      <c r="D418" s="38"/>
      <c r="E418" s="38"/>
      <c r="F418" s="39" t="str">
        <f t="shared" si="39"/>
        <v/>
      </c>
      <c r="G418" s="39" t="str">
        <f t="shared" si="40"/>
        <v/>
      </c>
      <c r="H418" s="39" t="str">
        <f t="shared" si="41"/>
        <v/>
      </c>
    </row>
    <row r="419" spans="1:8" x14ac:dyDescent="0.25">
      <c r="A419" s="35" t="str">
        <f t="shared" si="36"/>
        <v/>
      </c>
      <c r="B419" s="36" t="str">
        <f t="shared" si="37"/>
        <v/>
      </c>
      <c r="C419" s="37" t="str">
        <f t="shared" si="38"/>
        <v/>
      </c>
      <c r="D419" s="38"/>
      <c r="E419" s="38"/>
      <c r="F419" s="39" t="str">
        <f t="shared" si="39"/>
        <v/>
      </c>
      <c r="G419" s="39" t="str">
        <f t="shared" si="40"/>
        <v/>
      </c>
      <c r="H419" s="39" t="str">
        <f t="shared" si="41"/>
        <v/>
      </c>
    </row>
    <row r="420" spans="1:8" x14ac:dyDescent="0.25">
      <c r="A420" s="35" t="str">
        <f t="shared" si="36"/>
        <v/>
      </c>
      <c r="B420" s="36" t="str">
        <f t="shared" si="37"/>
        <v/>
      </c>
      <c r="C420" s="37" t="str">
        <f t="shared" si="38"/>
        <v/>
      </c>
      <c r="D420" s="38"/>
      <c r="E420" s="38"/>
      <c r="F420" s="39" t="str">
        <f t="shared" si="39"/>
        <v/>
      </c>
      <c r="G420" s="39" t="str">
        <f t="shared" si="40"/>
        <v/>
      </c>
      <c r="H420" s="39" t="str">
        <f t="shared" si="41"/>
        <v/>
      </c>
    </row>
    <row r="421" spans="1:8" x14ac:dyDescent="0.25">
      <c r="A421" s="35" t="str">
        <f t="shared" si="36"/>
        <v/>
      </c>
      <c r="B421" s="36" t="str">
        <f t="shared" si="37"/>
        <v/>
      </c>
      <c r="C421" s="37" t="str">
        <f t="shared" si="38"/>
        <v/>
      </c>
      <c r="D421" s="38"/>
      <c r="E421" s="38"/>
      <c r="F421" s="39" t="str">
        <f t="shared" si="39"/>
        <v/>
      </c>
      <c r="G421" s="39" t="str">
        <f t="shared" si="40"/>
        <v/>
      </c>
      <c r="H421" s="39" t="str">
        <f t="shared" si="41"/>
        <v/>
      </c>
    </row>
    <row r="422" spans="1:8" x14ac:dyDescent="0.25">
      <c r="A422" s="35" t="str">
        <f t="shared" si="36"/>
        <v/>
      </c>
      <c r="B422" s="36" t="str">
        <f t="shared" si="37"/>
        <v/>
      </c>
      <c r="C422" s="37" t="str">
        <f t="shared" si="38"/>
        <v/>
      </c>
      <c r="D422" s="38"/>
      <c r="E422" s="38"/>
      <c r="F422" s="39" t="str">
        <f t="shared" si="39"/>
        <v/>
      </c>
      <c r="G422" s="39" t="str">
        <f t="shared" si="40"/>
        <v/>
      </c>
      <c r="H422" s="39" t="str">
        <f t="shared" si="41"/>
        <v/>
      </c>
    </row>
    <row r="423" spans="1:8" x14ac:dyDescent="0.25">
      <c r="A423" s="35" t="str">
        <f t="shared" si="36"/>
        <v/>
      </c>
      <c r="B423" s="36" t="str">
        <f t="shared" si="37"/>
        <v/>
      </c>
      <c r="C423" s="37" t="str">
        <f t="shared" si="38"/>
        <v/>
      </c>
      <c r="D423" s="38"/>
      <c r="E423" s="38"/>
      <c r="F423" s="39" t="str">
        <f t="shared" si="39"/>
        <v/>
      </c>
      <c r="G423" s="39" t="str">
        <f t="shared" si="40"/>
        <v/>
      </c>
      <c r="H423" s="39" t="str">
        <f t="shared" si="41"/>
        <v/>
      </c>
    </row>
    <row r="424" spans="1:8" x14ac:dyDescent="0.25">
      <c r="A424" s="35" t="str">
        <f t="shared" si="36"/>
        <v/>
      </c>
      <c r="B424" s="36" t="str">
        <f t="shared" si="37"/>
        <v/>
      </c>
      <c r="C424" s="37" t="str">
        <f t="shared" si="38"/>
        <v/>
      </c>
      <c r="D424" s="38"/>
      <c r="E424" s="38"/>
      <c r="F424" s="39" t="str">
        <f t="shared" si="39"/>
        <v/>
      </c>
      <c r="G424" s="39" t="str">
        <f t="shared" si="40"/>
        <v/>
      </c>
      <c r="H424" s="39" t="str">
        <f t="shared" si="41"/>
        <v/>
      </c>
    </row>
    <row r="425" spans="1:8" x14ac:dyDescent="0.25">
      <c r="A425" s="35" t="str">
        <f t="shared" si="36"/>
        <v/>
      </c>
      <c r="B425" s="36" t="str">
        <f t="shared" si="37"/>
        <v/>
      </c>
      <c r="C425" s="37" t="str">
        <f t="shared" si="38"/>
        <v/>
      </c>
      <c r="D425" s="38"/>
      <c r="E425" s="38"/>
      <c r="F425" s="39" t="str">
        <f t="shared" si="39"/>
        <v/>
      </c>
      <c r="G425" s="39" t="str">
        <f t="shared" si="40"/>
        <v/>
      </c>
      <c r="H425" s="39" t="str">
        <f t="shared" si="41"/>
        <v/>
      </c>
    </row>
    <row r="426" spans="1:8" x14ac:dyDescent="0.25">
      <c r="A426" s="35" t="str">
        <f t="shared" si="36"/>
        <v/>
      </c>
      <c r="B426" s="36" t="str">
        <f t="shared" si="37"/>
        <v/>
      </c>
      <c r="C426" s="37" t="str">
        <f t="shared" si="38"/>
        <v/>
      </c>
      <c r="D426" s="38"/>
      <c r="E426" s="38"/>
      <c r="F426" s="39" t="str">
        <f t="shared" si="39"/>
        <v/>
      </c>
      <c r="G426" s="39" t="str">
        <f t="shared" si="40"/>
        <v/>
      </c>
      <c r="H426" s="39" t="str">
        <f t="shared" si="41"/>
        <v/>
      </c>
    </row>
    <row r="427" spans="1:8" x14ac:dyDescent="0.25">
      <c r="A427" s="35" t="str">
        <f t="shared" si="36"/>
        <v/>
      </c>
      <c r="B427" s="36" t="str">
        <f t="shared" si="37"/>
        <v/>
      </c>
      <c r="C427" s="37" t="str">
        <f t="shared" si="38"/>
        <v/>
      </c>
      <c r="D427" s="38"/>
      <c r="E427" s="38"/>
      <c r="F427" s="39" t="str">
        <f t="shared" si="39"/>
        <v/>
      </c>
      <c r="G427" s="39" t="str">
        <f t="shared" si="40"/>
        <v/>
      </c>
      <c r="H427" s="39" t="str">
        <f t="shared" si="41"/>
        <v/>
      </c>
    </row>
    <row r="428" spans="1:8" x14ac:dyDescent="0.25">
      <c r="A428" s="35" t="str">
        <f t="shared" si="36"/>
        <v/>
      </c>
      <c r="B428" s="36" t="str">
        <f t="shared" si="37"/>
        <v/>
      </c>
      <c r="C428" s="37" t="str">
        <f t="shared" si="38"/>
        <v/>
      </c>
      <c r="D428" s="38"/>
      <c r="E428" s="38"/>
      <c r="F428" s="39" t="str">
        <f t="shared" si="39"/>
        <v/>
      </c>
      <c r="G428" s="39" t="str">
        <f t="shared" si="40"/>
        <v/>
      </c>
      <c r="H428" s="39" t="str">
        <f t="shared" si="41"/>
        <v/>
      </c>
    </row>
    <row r="429" spans="1:8" x14ac:dyDescent="0.25">
      <c r="A429" s="35" t="str">
        <f t="shared" si="36"/>
        <v/>
      </c>
      <c r="B429" s="36" t="str">
        <f t="shared" si="37"/>
        <v/>
      </c>
      <c r="C429" s="37" t="str">
        <f t="shared" si="38"/>
        <v/>
      </c>
      <c r="D429" s="38"/>
      <c r="E429" s="38"/>
      <c r="F429" s="39" t="str">
        <f t="shared" si="39"/>
        <v/>
      </c>
      <c r="G429" s="39" t="str">
        <f t="shared" si="40"/>
        <v/>
      </c>
      <c r="H429" s="39" t="str">
        <f t="shared" si="41"/>
        <v/>
      </c>
    </row>
    <row r="430" spans="1:8" x14ac:dyDescent="0.25">
      <c r="A430" s="35" t="str">
        <f t="shared" si="36"/>
        <v/>
      </c>
      <c r="B430" s="36" t="str">
        <f t="shared" si="37"/>
        <v/>
      </c>
      <c r="C430" s="37" t="str">
        <f t="shared" si="38"/>
        <v/>
      </c>
      <c r="D430" s="38"/>
      <c r="E430" s="38"/>
      <c r="F430" s="39" t="str">
        <f t="shared" si="39"/>
        <v/>
      </c>
      <c r="G430" s="39" t="str">
        <f t="shared" si="40"/>
        <v/>
      </c>
      <c r="H430" s="39" t="str">
        <f t="shared" si="41"/>
        <v/>
      </c>
    </row>
    <row r="431" spans="1:8" x14ac:dyDescent="0.25">
      <c r="A431" s="35" t="str">
        <f t="shared" si="36"/>
        <v/>
      </c>
      <c r="B431" s="36" t="str">
        <f t="shared" si="37"/>
        <v/>
      </c>
      <c r="C431" s="37" t="str">
        <f t="shared" si="38"/>
        <v/>
      </c>
      <c r="D431" s="38"/>
      <c r="E431" s="38"/>
      <c r="F431" s="39" t="str">
        <f t="shared" si="39"/>
        <v/>
      </c>
      <c r="G431" s="39" t="str">
        <f t="shared" si="40"/>
        <v/>
      </c>
      <c r="H431" s="39" t="str">
        <f t="shared" si="41"/>
        <v/>
      </c>
    </row>
    <row r="432" spans="1:8" x14ac:dyDescent="0.25">
      <c r="A432" s="35" t="str">
        <f t="shared" si="36"/>
        <v/>
      </c>
      <c r="B432" s="36" t="str">
        <f t="shared" si="37"/>
        <v/>
      </c>
      <c r="C432" s="37" t="str">
        <f t="shared" si="38"/>
        <v/>
      </c>
      <c r="D432" s="38"/>
      <c r="E432" s="38"/>
      <c r="F432" s="39" t="str">
        <f t="shared" si="39"/>
        <v/>
      </c>
      <c r="G432" s="39" t="str">
        <f t="shared" si="40"/>
        <v/>
      </c>
      <c r="H432" s="39" t="str">
        <f t="shared" si="41"/>
        <v/>
      </c>
    </row>
    <row r="433" spans="1:8" x14ac:dyDescent="0.25">
      <c r="A433" s="35" t="str">
        <f t="shared" si="36"/>
        <v/>
      </c>
      <c r="B433" s="36" t="str">
        <f t="shared" si="37"/>
        <v/>
      </c>
      <c r="C433" s="37" t="str">
        <f t="shared" si="38"/>
        <v/>
      </c>
      <c r="D433" s="38"/>
      <c r="E433" s="38"/>
      <c r="F433" s="39" t="str">
        <f t="shared" si="39"/>
        <v/>
      </c>
      <c r="G433" s="39" t="str">
        <f t="shared" si="40"/>
        <v/>
      </c>
      <c r="H433" s="39" t="str">
        <f t="shared" si="41"/>
        <v/>
      </c>
    </row>
    <row r="434" spans="1:8" x14ac:dyDescent="0.25">
      <c r="A434" s="35" t="str">
        <f t="shared" si="36"/>
        <v/>
      </c>
      <c r="B434" s="36" t="str">
        <f t="shared" si="37"/>
        <v/>
      </c>
      <c r="C434" s="37" t="str">
        <f t="shared" si="38"/>
        <v/>
      </c>
      <c r="D434" s="38"/>
      <c r="E434" s="38"/>
      <c r="F434" s="39" t="str">
        <f t="shared" si="39"/>
        <v/>
      </c>
      <c r="G434" s="39" t="str">
        <f t="shared" si="40"/>
        <v/>
      </c>
      <c r="H434" s="39" t="str">
        <f t="shared" si="41"/>
        <v/>
      </c>
    </row>
    <row r="435" spans="1:8" x14ac:dyDescent="0.25">
      <c r="A435" s="35" t="str">
        <f t="shared" si="36"/>
        <v/>
      </c>
      <c r="B435" s="36" t="str">
        <f t="shared" si="37"/>
        <v/>
      </c>
      <c r="C435" s="37" t="str">
        <f t="shared" si="38"/>
        <v/>
      </c>
      <c r="D435" s="38"/>
      <c r="E435" s="38"/>
      <c r="F435" s="39" t="str">
        <f t="shared" si="39"/>
        <v/>
      </c>
      <c r="G435" s="39" t="str">
        <f t="shared" si="40"/>
        <v/>
      </c>
      <c r="H435" s="39" t="str">
        <f t="shared" si="41"/>
        <v/>
      </c>
    </row>
    <row r="436" spans="1:8" x14ac:dyDescent="0.25">
      <c r="A436" s="35" t="str">
        <f t="shared" si="36"/>
        <v/>
      </c>
      <c r="B436" s="36" t="str">
        <f t="shared" si="37"/>
        <v/>
      </c>
      <c r="C436" s="37" t="str">
        <f t="shared" si="38"/>
        <v/>
      </c>
      <c r="D436" s="38"/>
      <c r="E436" s="38"/>
      <c r="F436" s="39" t="str">
        <f t="shared" si="39"/>
        <v/>
      </c>
      <c r="G436" s="39" t="str">
        <f t="shared" si="40"/>
        <v/>
      </c>
      <c r="H436" s="39" t="str">
        <f t="shared" si="41"/>
        <v/>
      </c>
    </row>
    <row r="437" spans="1:8" x14ac:dyDescent="0.25">
      <c r="A437" s="35" t="str">
        <f t="shared" si="36"/>
        <v/>
      </c>
      <c r="B437" s="36" t="str">
        <f t="shared" si="37"/>
        <v/>
      </c>
      <c r="C437" s="37" t="str">
        <f t="shared" si="38"/>
        <v/>
      </c>
      <c r="D437" s="38"/>
      <c r="E437" s="38"/>
      <c r="F437" s="39" t="str">
        <f t="shared" si="39"/>
        <v/>
      </c>
      <c r="G437" s="39" t="str">
        <f t="shared" si="40"/>
        <v/>
      </c>
      <c r="H437" s="39" t="str">
        <f t="shared" si="41"/>
        <v/>
      </c>
    </row>
    <row r="438" spans="1:8" x14ac:dyDescent="0.25">
      <c r="A438" s="35" t="str">
        <f t="shared" si="36"/>
        <v/>
      </c>
      <c r="B438" s="36" t="str">
        <f t="shared" si="37"/>
        <v/>
      </c>
      <c r="C438" s="37" t="str">
        <f t="shared" si="38"/>
        <v/>
      </c>
      <c r="D438" s="38"/>
      <c r="E438" s="38"/>
      <c r="F438" s="39" t="str">
        <f t="shared" si="39"/>
        <v/>
      </c>
      <c r="G438" s="39" t="str">
        <f t="shared" si="40"/>
        <v/>
      </c>
      <c r="H438" s="39" t="str">
        <f t="shared" si="41"/>
        <v/>
      </c>
    </row>
    <row r="439" spans="1:8" x14ac:dyDescent="0.25">
      <c r="A439" s="35" t="str">
        <f t="shared" si="36"/>
        <v/>
      </c>
      <c r="B439" s="36" t="str">
        <f t="shared" si="37"/>
        <v/>
      </c>
      <c r="C439" s="37" t="str">
        <f t="shared" si="38"/>
        <v/>
      </c>
      <c r="D439" s="38"/>
      <c r="E439" s="38"/>
      <c r="F439" s="39" t="str">
        <f t="shared" si="39"/>
        <v/>
      </c>
      <c r="G439" s="39" t="str">
        <f t="shared" si="40"/>
        <v/>
      </c>
      <c r="H439" s="39" t="str">
        <f t="shared" si="41"/>
        <v/>
      </c>
    </row>
    <row r="440" spans="1:8" x14ac:dyDescent="0.25">
      <c r="A440" s="35" t="str">
        <f t="shared" si="36"/>
        <v/>
      </c>
      <c r="B440" s="36" t="str">
        <f t="shared" si="37"/>
        <v/>
      </c>
      <c r="C440" s="37" t="str">
        <f t="shared" si="38"/>
        <v/>
      </c>
      <c r="D440" s="38"/>
      <c r="E440" s="38"/>
      <c r="F440" s="39" t="str">
        <f t="shared" si="39"/>
        <v/>
      </c>
      <c r="G440" s="39" t="str">
        <f t="shared" si="40"/>
        <v/>
      </c>
      <c r="H440" s="39" t="str">
        <f t="shared" si="41"/>
        <v/>
      </c>
    </row>
    <row r="441" spans="1:8" x14ac:dyDescent="0.25">
      <c r="A441" s="35" t="str">
        <f t="shared" si="36"/>
        <v/>
      </c>
      <c r="B441" s="36" t="str">
        <f t="shared" si="37"/>
        <v/>
      </c>
      <c r="C441" s="37" t="str">
        <f t="shared" si="38"/>
        <v/>
      </c>
      <c r="D441" s="38"/>
      <c r="E441" s="38"/>
      <c r="F441" s="39" t="str">
        <f t="shared" si="39"/>
        <v/>
      </c>
      <c r="G441" s="39" t="str">
        <f t="shared" si="40"/>
        <v/>
      </c>
      <c r="H441" s="39" t="str">
        <f t="shared" si="41"/>
        <v/>
      </c>
    </row>
    <row r="442" spans="1:8" x14ac:dyDescent="0.25">
      <c r="A442" s="35" t="str">
        <f t="shared" si="36"/>
        <v/>
      </c>
      <c r="B442" s="36" t="str">
        <f t="shared" si="37"/>
        <v/>
      </c>
      <c r="C442" s="37" t="str">
        <f t="shared" si="38"/>
        <v/>
      </c>
      <c r="D442" s="38"/>
      <c r="E442" s="38"/>
      <c r="F442" s="39" t="str">
        <f t="shared" si="39"/>
        <v/>
      </c>
      <c r="G442" s="39" t="str">
        <f t="shared" si="40"/>
        <v/>
      </c>
      <c r="H442" s="39" t="str">
        <f t="shared" si="41"/>
        <v/>
      </c>
    </row>
    <row r="443" spans="1:8" x14ac:dyDescent="0.25">
      <c r="A443" s="35" t="str">
        <f t="shared" si="36"/>
        <v/>
      </c>
      <c r="B443" s="36" t="str">
        <f t="shared" si="37"/>
        <v/>
      </c>
      <c r="C443" s="37" t="str">
        <f t="shared" si="38"/>
        <v/>
      </c>
      <c r="D443" s="38"/>
      <c r="E443" s="38"/>
      <c r="F443" s="39" t="str">
        <f t="shared" si="39"/>
        <v/>
      </c>
      <c r="G443" s="39" t="str">
        <f t="shared" si="40"/>
        <v/>
      </c>
      <c r="H443" s="39" t="str">
        <f t="shared" si="41"/>
        <v/>
      </c>
    </row>
    <row r="444" spans="1:8" x14ac:dyDescent="0.25">
      <c r="A444" s="35" t="str">
        <f t="shared" si="36"/>
        <v/>
      </c>
      <c r="B444" s="36" t="str">
        <f t="shared" si="37"/>
        <v/>
      </c>
      <c r="C444" s="37" t="str">
        <f t="shared" si="38"/>
        <v/>
      </c>
      <c r="D444" s="38"/>
      <c r="E444" s="38"/>
      <c r="F444" s="39" t="str">
        <f t="shared" si="39"/>
        <v/>
      </c>
      <c r="G444" s="39" t="str">
        <f t="shared" si="40"/>
        <v/>
      </c>
      <c r="H444" s="39" t="str">
        <f t="shared" si="41"/>
        <v/>
      </c>
    </row>
    <row r="445" spans="1:8" x14ac:dyDescent="0.25">
      <c r="A445" s="35" t="str">
        <f t="shared" si="36"/>
        <v/>
      </c>
      <c r="B445" s="36" t="str">
        <f t="shared" si="37"/>
        <v/>
      </c>
      <c r="C445" s="37" t="str">
        <f t="shared" si="38"/>
        <v/>
      </c>
      <c r="D445" s="38"/>
      <c r="E445" s="38"/>
      <c r="F445" s="39" t="str">
        <f t="shared" si="39"/>
        <v/>
      </c>
      <c r="G445" s="39" t="str">
        <f t="shared" si="40"/>
        <v/>
      </c>
      <c r="H445" s="39" t="str">
        <f t="shared" si="41"/>
        <v/>
      </c>
    </row>
    <row r="446" spans="1:8" x14ac:dyDescent="0.25">
      <c r="A446" s="35" t="str">
        <f t="shared" si="36"/>
        <v/>
      </c>
      <c r="B446" s="36" t="str">
        <f t="shared" si="37"/>
        <v/>
      </c>
      <c r="C446" s="37" t="str">
        <f t="shared" si="38"/>
        <v/>
      </c>
      <c r="D446" s="38"/>
      <c r="E446" s="38"/>
      <c r="F446" s="39" t="str">
        <f t="shared" si="39"/>
        <v/>
      </c>
      <c r="G446" s="39" t="str">
        <f t="shared" si="40"/>
        <v/>
      </c>
      <c r="H446" s="39" t="str">
        <f t="shared" si="41"/>
        <v/>
      </c>
    </row>
    <row r="447" spans="1:8" x14ac:dyDescent="0.25">
      <c r="A447" s="35" t="str">
        <f t="shared" si="36"/>
        <v/>
      </c>
      <c r="B447" s="36" t="str">
        <f t="shared" si="37"/>
        <v/>
      </c>
      <c r="C447" s="37" t="str">
        <f t="shared" si="38"/>
        <v/>
      </c>
      <c r="D447" s="38"/>
      <c r="E447" s="38"/>
      <c r="F447" s="39" t="str">
        <f t="shared" si="39"/>
        <v/>
      </c>
      <c r="G447" s="39" t="str">
        <f t="shared" si="40"/>
        <v/>
      </c>
      <c r="H447" s="39" t="str">
        <f t="shared" si="41"/>
        <v/>
      </c>
    </row>
    <row r="448" spans="1:8" x14ac:dyDescent="0.25">
      <c r="A448" s="35" t="str">
        <f t="shared" si="36"/>
        <v/>
      </c>
      <c r="B448" s="36" t="str">
        <f t="shared" si="37"/>
        <v/>
      </c>
      <c r="C448" s="37" t="str">
        <f t="shared" si="38"/>
        <v/>
      </c>
      <c r="D448" s="38"/>
      <c r="E448" s="38"/>
      <c r="F448" s="39" t="str">
        <f t="shared" si="39"/>
        <v/>
      </c>
      <c r="G448" s="39" t="str">
        <f t="shared" si="40"/>
        <v/>
      </c>
      <c r="H448" s="39" t="str">
        <f t="shared" si="41"/>
        <v/>
      </c>
    </row>
    <row r="449" spans="1:8" x14ac:dyDescent="0.25">
      <c r="A449" s="35" t="str">
        <f t="shared" si="36"/>
        <v/>
      </c>
      <c r="B449" s="36" t="str">
        <f t="shared" si="37"/>
        <v/>
      </c>
      <c r="C449" s="37" t="str">
        <f t="shared" si="38"/>
        <v/>
      </c>
      <c r="D449" s="38"/>
      <c r="E449" s="38"/>
      <c r="F449" s="39" t="str">
        <f t="shared" si="39"/>
        <v/>
      </c>
      <c r="G449" s="39" t="str">
        <f t="shared" si="40"/>
        <v/>
      </c>
      <c r="H449" s="39" t="str">
        <f t="shared" si="41"/>
        <v/>
      </c>
    </row>
    <row r="450" spans="1:8" x14ac:dyDescent="0.25">
      <c r="A450" s="35" t="str">
        <f t="shared" si="36"/>
        <v/>
      </c>
      <c r="B450" s="36" t="str">
        <f t="shared" si="37"/>
        <v/>
      </c>
      <c r="C450" s="37" t="str">
        <f t="shared" si="38"/>
        <v/>
      </c>
      <c r="D450" s="38"/>
      <c r="E450" s="38"/>
      <c r="F450" s="39" t="str">
        <f t="shared" si="39"/>
        <v/>
      </c>
      <c r="G450" s="39" t="str">
        <f t="shared" si="40"/>
        <v/>
      </c>
      <c r="H450" s="39" t="str">
        <f t="shared" si="41"/>
        <v/>
      </c>
    </row>
    <row r="451" spans="1:8" x14ac:dyDescent="0.25">
      <c r="A451" s="35" t="str">
        <f t="shared" si="36"/>
        <v/>
      </c>
      <c r="B451" s="36" t="str">
        <f t="shared" si="37"/>
        <v/>
      </c>
      <c r="C451" s="37" t="str">
        <f t="shared" si="38"/>
        <v/>
      </c>
      <c r="D451" s="38"/>
      <c r="E451" s="38"/>
      <c r="F451" s="39" t="str">
        <f t="shared" si="39"/>
        <v/>
      </c>
      <c r="G451" s="39" t="str">
        <f t="shared" si="40"/>
        <v/>
      </c>
      <c r="H451" s="39" t="str">
        <f t="shared" si="41"/>
        <v/>
      </c>
    </row>
    <row r="452" spans="1:8" x14ac:dyDescent="0.25">
      <c r="A452" s="35" t="str">
        <f t="shared" si="36"/>
        <v/>
      </c>
      <c r="B452" s="36" t="str">
        <f t="shared" si="37"/>
        <v/>
      </c>
      <c r="C452" s="37" t="str">
        <f t="shared" si="38"/>
        <v/>
      </c>
      <c r="D452" s="38"/>
      <c r="E452" s="38"/>
      <c r="F452" s="39" t="str">
        <f t="shared" si="39"/>
        <v/>
      </c>
      <c r="G452" s="39" t="str">
        <f t="shared" si="40"/>
        <v/>
      </c>
      <c r="H452" s="39" t="str">
        <f t="shared" si="41"/>
        <v/>
      </c>
    </row>
    <row r="453" spans="1:8" x14ac:dyDescent="0.25">
      <c r="A453" s="35" t="str">
        <f t="shared" si="36"/>
        <v/>
      </c>
      <c r="B453" s="36" t="str">
        <f t="shared" si="37"/>
        <v/>
      </c>
      <c r="C453" s="37" t="str">
        <f t="shared" si="38"/>
        <v/>
      </c>
      <c r="D453" s="38"/>
      <c r="E453" s="38"/>
      <c r="F453" s="39" t="str">
        <f t="shared" si="39"/>
        <v/>
      </c>
      <c r="G453" s="39" t="str">
        <f t="shared" si="40"/>
        <v/>
      </c>
      <c r="H453" s="39" t="str">
        <f t="shared" si="41"/>
        <v/>
      </c>
    </row>
    <row r="454" spans="1:8" x14ac:dyDescent="0.25">
      <c r="A454" s="35" t="str">
        <f t="shared" si="36"/>
        <v/>
      </c>
      <c r="B454" s="36" t="str">
        <f t="shared" si="37"/>
        <v/>
      </c>
      <c r="C454" s="37" t="str">
        <f t="shared" si="38"/>
        <v/>
      </c>
      <c r="D454" s="38"/>
      <c r="E454" s="38"/>
      <c r="F454" s="39" t="str">
        <f t="shared" si="39"/>
        <v/>
      </c>
      <c r="G454" s="39" t="str">
        <f t="shared" si="40"/>
        <v/>
      </c>
      <c r="H454" s="39" t="str">
        <f t="shared" si="41"/>
        <v/>
      </c>
    </row>
    <row r="455" spans="1:8" x14ac:dyDescent="0.25">
      <c r="A455" s="35" t="str">
        <f t="shared" si="36"/>
        <v/>
      </c>
      <c r="B455" s="36" t="str">
        <f t="shared" si="37"/>
        <v/>
      </c>
      <c r="C455" s="37" t="str">
        <f t="shared" si="38"/>
        <v/>
      </c>
      <c r="D455" s="38"/>
      <c r="E455" s="38"/>
      <c r="F455" s="39" t="str">
        <f t="shared" si="39"/>
        <v/>
      </c>
      <c r="G455" s="39" t="str">
        <f t="shared" si="40"/>
        <v/>
      </c>
      <c r="H455" s="39" t="str">
        <f t="shared" si="41"/>
        <v/>
      </c>
    </row>
    <row r="456" spans="1:8" x14ac:dyDescent="0.25">
      <c r="A456" s="35" t="str">
        <f t="shared" si="36"/>
        <v/>
      </c>
      <c r="B456" s="36" t="str">
        <f t="shared" si="37"/>
        <v/>
      </c>
      <c r="C456" s="37" t="str">
        <f t="shared" si="38"/>
        <v/>
      </c>
      <c r="D456" s="38"/>
      <c r="E456" s="38"/>
      <c r="F456" s="39" t="str">
        <f t="shared" si="39"/>
        <v/>
      </c>
      <c r="G456" s="39" t="str">
        <f t="shared" si="40"/>
        <v/>
      </c>
      <c r="H456" s="39" t="str">
        <f t="shared" si="41"/>
        <v/>
      </c>
    </row>
    <row r="457" spans="1:8" x14ac:dyDescent="0.25">
      <c r="A457" s="35" t="str">
        <f t="shared" si="36"/>
        <v/>
      </c>
      <c r="B457" s="36" t="str">
        <f t="shared" si="37"/>
        <v/>
      </c>
      <c r="C457" s="37" t="str">
        <f t="shared" si="38"/>
        <v/>
      </c>
      <c r="D457" s="38"/>
      <c r="E457" s="38"/>
      <c r="F457" s="39" t="str">
        <f t="shared" si="39"/>
        <v/>
      </c>
      <c r="G457" s="39" t="str">
        <f t="shared" si="40"/>
        <v/>
      </c>
      <c r="H457" s="39" t="str">
        <f t="shared" si="41"/>
        <v/>
      </c>
    </row>
    <row r="458" spans="1:8" x14ac:dyDescent="0.25">
      <c r="A458" s="35" t="str">
        <f t="shared" si="36"/>
        <v/>
      </c>
      <c r="B458" s="36" t="str">
        <f t="shared" si="37"/>
        <v/>
      </c>
      <c r="C458" s="37" t="str">
        <f t="shared" si="38"/>
        <v/>
      </c>
      <c r="D458" s="38"/>
      <c r="E458" s="38"/>
      <c r="F458" s="39" t="str">
        <f t="shared" si="39"/>
        <v/>
      </c>
      <c r="G458" s="39" t="str">
        <f t="shared" si="40"/>
        <v/>
      </c>
      <c r="H458" s="39" t="str">
        <f t="shared" si="41"/>
        <v/>
      </c>
    </row>
    <row r="459" spans="1:8" x14ac:dyDescent="0.25">
      <c r="A459" s="35" t="str">
        <f t="shared" si="36"/>
        <v/>
      </c>
      <c r="B459" s="36" t="str">
        <f t="shared" si="37"/>
        <v/>
      </c>
      <c r="C459" s="37" t="str">
        <f t="shared" si="38"/>
        <v/>
      </c>
      <c r="D459" s="38"/>
      <c r="E459" s="38"/>
      <c r="F459" s="39" t="str">
        <f t="shared" si="39"/>
        <v/>
      </c>
      <c r="G459" s="39" t="str">
        <f t="shared" si="40"/>
        <v/>
      </c>
      <c r="H459" s="39" t="str">
        <f t="shared" si="41"/>
        <v/>
      </c>
    </row>
    <row r="460" spans="1:8" x14ac:dyDescent="0.25">
      <c r="A460" s="35" t="str">
        <f t="shared" si="36"/>
        <v/>
      </c>
      <c r="B460" s="36" t="str">
        <f t="shared" si="37"/>
        <v/>
      </c>
      <c r="C460" s="37" t="str">
        <f t="shared" si="38"/>
        <v/>
      </c>
      <c r="D460" s="38"/>
      <c r="E460" s="38"/>
      <c r="F460" s="39" t="str">
        <f t="shared" si="39"/>
        <v/>
      </c>
      <c r="G460" s="39" t="str">
        <f t="shared" si="40"/>
        <v/>
      </c>
      <c r="H460" s="39" t="str">
        <f t="shared" si="41"/>
        <v/>
      </c>
    </row>
    <row r="461" spans="1:8" x14ac:dyDescent="0.25">
      <c r="A461" s="35" t="str">
        <f t="shared" si="36"/>
        <v/>
      </c>
      <c r="B461" s="36" t="str">
        <f t="shared" si="37"/>
        <v/>
      </c>
      <c r="C461" s="37" t="str">
        <f t="shared" si="38"/>
        <v/>
      </c>
      <c r="D461" s="38"/>
      <c r="E461" s="38"/>
      <c r="F461" s="39" t="str">
        <f t="shared" si="39"/>
        <v/>
      </c>
      <c r="G461" s="39" t="str">
        <f t="shared" si="40"/>
        <v/>
      </c>
      <c r="H461" s="39" t="str">
        <f t="shared" si="41"/>
        <v/>
      </c>
    </row>
    <row r="462" spans="1:8" x14ac:dyDescent="0.25">
      <c r="A462" s="35" t="str">
        <f t="shared" si="36"/>
        <v/>
      </c>
      <c r="B462" s="36" t="str">
        <f t="shared" si="37"/>
        <v/>
      </c>
      <c r="C462" s="37" t="str">
        <f t="shared" si="38"/>
        <v/>
      </c>
      <c r="D462" s="38"/>
      <c r="E462" s="38"/>
      <c r="F462" s="39" t="str">
        <f t="shared" si="39"/>
        <v/>
      </c>
      <c r="G462" s="39" t="str">
        <f t="shared" si="40"/>
        <v/>
      </c>
      <c r="H462" s="39" t="str">
        <f t="shared" si="41"/>
        <v/>
      </c>
    </row>
    <row r="463" spans="1:8" x14ac:dyDescent="0.25">
      <c r="A463" s="35" t="str">
        <f t="shared" si="36"/>
        <v/>
      </c>
      <c r="B463" s="36" t="str">
        <f t="shared" si="37"/>
        <v/>
      </c>
      <c r="C463" s="37" t="str">
        <f t="shared" si="38"/>
        <v/>
      </c>
      <c r="D463" s="38"/>
      <c r="E463" s="38"/>
      <c r="F463" s="39" t="str">
        <f t="shared" si="39"/>
        <v/>
      </c>
      <c r="G463" s="39" t="str">
        <f t="shared" si="40"/>
        <v/>
      </c>
      <c r="H463" s="39" t="str">
        <f t="shared" si="41"/>
        <v/>
      </c>
    </row>
    <row r="464" spans="1:8" x14ac:dyDescent="0.25">
      <c r="A464" s="35" t="str">
        <f t="shared" si="36"/>
        <v/>
      </c>
      <c r="B464" s="36" t="str">
        <f t="shared" si="37"/>
        <v/>
      </c>
      <c r="C464" s="37" t="str">
        <f t="shared" si="38"/>
        <v/>
      </c>
      <c r="D464" s="38"/>
      <c r="E464" s="38"/>
      <c r="F464" s="39" t="str">
        <f t="shared" si="39"/>
        <v/>
      </c>
      <c r="G464" s="39" t="str">
        <f t="shared" si="40"/>
        <v/>
      </c>
      <c r="H464" s="39" t="str">
        <f t="shared" si="41"/>
        <v/>
      </c>
    </row>
    <row r="465" spans="1:8" x14ac:dyDescent="0.25">
      <c r="A465" s="35" t="str">
        <f t="shared" si="36"/>
        <v/>
      </c>
      <c r="B465" s="36" t="str">
        <f t="shared" si="37"/>
        <v/>
      </c>
      <c r="C465" s="37" t="str">
        <f t="shared" si="38"/>
        <v/>
      </c>
      <c r="D465" s="38"/>
      <c r="E465" s="38"/>
      <c r="F465" s="39" t="str">
        <f t="shared" si="39"/>
        <v/>
      </c>
      <c r="G465" s="39" t="str">
        <f t="shared" si="40"/>
        <v/>
      </c>
      <c r="H465" s="39" t="str">
        <f t="shared" si="41"/>
        <v/>
      </c>
    </row>
    <row r="466" spans="1:8" x14ac:dyDescent="0.25">
      <c r="A466" s="35" t="str">
        <f t="shared" si="36"/>
        <v/>
      </c>
      <c r="B466" s="36" t="str">
        <f t="shared" si="37"/>
        <v/>
      </c>
      <c r="C466" s="37" t="str">
        <f t="shared" si="38"/>
        <v/>
      </c>
      <c r="D466" s="38"/>
      <c r="E466" s="38"/>
      <c r="F466" s="39" t="str">
        <f t="shared" si="39"/>
        <v/>
      </c>
      <c r="G466" s="39" t="str">
        <f t="shared" si="40"/>
        <v/>
      </c>
      <c r="H466" s="39" t="str">
        <f t="shared" si="41"/>
        <v/>
      </c>
    </row>
    <row r="467" spans="1:8" x14ac:dyDescent="0.25">
      <c r="A467" s="35" t="str">
        <f t="shared" si="36"/>
        <v/>
      </c>
      <c r="B467" s="36" t="str">
        <f t="shared" si="37"/>
        <v/>
      </c>
      <c r="C467" s="37" t="str">
        <f t="shared" si="38"/>
        <v/>
      </c>
      <c r="D467" s="38"/>
      <c r="E467" s="38"/>
      <c r="F467" s="39" t="str">
        <f t="shared" si="39"/>
        <v/>
      </c>
      <c r="G467" s="39" t="str">
        <f t="shared" si="40"/>
        <v/>
      </c>
      <c r="H467" s="39" t="str">
        <f t="shared" si="41"/>
        <v/>
      </c>
    </row>
    <row r="468" spans="1:8" x14ac:dyDescent="0.25">
      <c r="A468" s="35" t="str">
        <f t="shared" si="36"/>
        <v/>
      </c>
      <c r="B468" s="36" t="str">
        <f t="shared" si="37"/>
        <v/>
      </c>
      <c r="C468" s="37" t="str">
        <f t="shared" si="38"/>
        <v/>
      </c>
      <c r="D468" s="38"/>
      <c r="E468" s="38"/>
      <c r="F468" s="39" t="str">
        <f t="shared" si="39"/>
        <v/>
      </c>
      <c r="G468" s="39" t="str">
        <f t="shared" si="40"/>
        <v/>
      </c>
      <c r="H468" s="39" t="str">
        <f t="shared" si="41"/>
        <v/>
      </c>
    </row>
    <row r="469" spans="1:8" x14ac:dyDescent="0.25">
      <c r="A469" s="35" t="str">
        <f t="shared" si="36"/>
        <v/>
      </c>
      <c r="B469" s="36" t="str">
        <f t="shared" si="37"/>
        <v/>
      </c>
      <c r="C469" s="37" t="str">
        <f t="shared" si="38"/>
        <v/>
      </c>
      <c r="D469" s="38"/>
      <c r="E469" s="38"/>
      <c r="F469" s="39" t="str">
        <f t="shared" si="39"/>
        <v/>
      </c>
      <c r="G469" s="39" t="str">
        <f t="shared" si="40"/>
        <v/>
      </c>
      <c r="H469" s="39" t="str">
        <f t="shared" si="41"/>
        <v/>
      </c>
    </row>
    <row r="470" spans="1:8" x14ac:dyDescent="0.25">
      <c r="A470" s="35" t="str">
        <f t="shared" si="36"/>
        <v/>
      </c>
      <c r="B470" s="36" t="str">
        <f t="shared" si="37"/>
        <v/>
      </c>
      <c r="C470" s="37" t="str">
        <f t="shared" si="38"/>
        <v/>
      </c>
      <c r="D470" s="38"/>
      <c r="E470" s="38"/>
      <c r="F470" s="39" t="str">
        <f t="shared" si="39"/>
        <v/>
      </c>
      <c r="G470" s="39" t="str">
        <f t="shared" si="40"/>
        <v/>
      </c>
      <c r="H470" s="39" t="str">
        <f t="shared" si="41"/>
        <v/>
      </c>
    </row>
    <row r="471" spans="1:8" x14ac:dyDescent="0.25">
      <c r="A471" s="35" t="str">
        <f t="shared" si="36"/>
        <v/>
      </c>
      <c r="B471" s="36" t="str">
        <f t="shared" si="37"/>
        <v/>
      </c>
      <c r="C471" s="37" t="str">
        <f t="shared" si="38"/>
        <v/>
      </c>
      <c r="D471" s="38"/>
      <c r="E471" s="38"/>
      <c r="F471" s="39" t="str">
        <f t="shared" si="39"/>
        <v/>
      </c>
      <c r="G471" s="39" t="str">
        <f t="shared" si="40"/>
        <v/>
      </c>
      <c r="H471" s="39" t="str">
        <f t="shared" si="41"/>
        <v/>
      </c>
    </row>
    <row r="472" spans="1:8" x14ac:dyDescent="0.25">
      <c r="A472" s="35" t="str">
        <f t="shared" si="36"/>
        <v/>
      </c>
      <c r="B472" s="36" t="str">
        <f t="shared" si="37"/>
        <v/>
      </c>
      <c r="C472" s="37" t="str">
        <f t="shared" si="38"/>
        <v/>
      </c>
      <c r="D472" s="38"/>
      <c r="E472" s="38"/>
      <c r="F472" s="39" t="str">
        <f t="shared" si="39"/>
        <v/>
      </c>
      <c r="G472" s="39" t="str">
        <f t="shared" si="40"/>
        <v/>
      </c>
      <c r="H472" s="39" t="str">
        <f t="shared" si="41"/>
        <v/>
      </c>
    </row>
    <row r="473" spans="1:8" x14ac:dyDescent="0.25">
      <c r="A473" s="35" t="str">
        <f t="shared" si="36"/>
        <v/>
      </c>
      <c r="B473" s="36" t="str">
        <f t="shared" si="37"/>
        <v/>
      </c>
      <c r="C473" s="37" t="str">
        <f t="shared" si="38"/>
        <v/>
      </c>
      <c r="D473" s="38"/>
      <c r="E473" s="38"/>
      <c r="F473" s="39" t="str">
        <f t="shared" si="39"/>
        <v/>
      </c>
      <c r="G473" s="39" t="str">
        <f t="shared" si="40"/>
        <v/>
      </c>
      <c r="H473" s="39" t="str">
        <f t="shared" si="41"/>
        <v/>
      </c>
    </row>
    <row r="474" spans="1:8" x14ac:dyDescent="0.25">
      <c r="A474" s="35" t="str">
        <f t="shared" ref="A474:A537" si="42">IF(H473="","",IF(roundOpt,IF(OR(A473&gt;=nPer,ROUND(H473,2)&lt;=0),"",A473+1),IF(OR(A473&gt;=nPer,H473&lt;=0),"",A473+1)))</f>
        <v/>
      </c>
      <c r="B474" s="36" t="str">
        <f t="shared" ref="B474:B537" si="43">IF(A474="","",IF(OR(periods_per_year=26,periods_per_year=52),IF(periods_per_year=26,IF(A474=1,beginDate,B473+14),IF(periods_per_year=52,IF(A474=1,beginDate,B473+7),"n/a")),IF(periods_per_year=24,DATE(YEAR(beginDate),MONTH(beginDate)+(A474-1)/2+IF(AND(DAY(beginDate)&gt;=15,MOD(A474,2)=0),1,0),IF(MOD(A474,2)=0,IF(DAY(beginDate)&gt;=15,DAY(beginDate)-14,DAY(beginDate)+14),DAY(beginDate))),IF(DAY(DATE(YEAR(beginDate),MONTH(beginDate)+(A474-1)*monthsPerPeriod,DAY(beginDate)))&lt;&gt;DAY(beginDate),DATE(YEAR(beginDate),MONTH(beginDate)+(A474-1)*monthsPerPeriod+1,0),DATE(YEAR(beginDate),MONTH(beginDate)+(A474-1)*monthsPerPeriod,DAY(beginDate))))))</f>
        <v/>
      </c>
      <c r="C474" s="37" t="str">
        <f t="shared" ref="C474:C537" si="44">IF(A474="","",IF(roundOpt,IF(OR(A474=nPer,payment&gt;ROUND((1+rate)*H473,2)),ROUND((1+rate)*H473,2),payment),IF(OR(A474=nPer,payment&gt;(1+rate)*H473),(1+rate)*H473,payment)))</f>
        <v/>
      </c>
      <c r="D474" s="38"/>
      <c r="E474" s="38"/>
      <c r="F474" s="39" t="str">
        <f t="shared" ref="F474:F537" si="45">IF(A474="","",IF(AND(A474=1,pmtType=1),0,IF(roundOpt,ROUND(rate*H473,2),rate*H473)))</f>
        <v/>
      </c>
      <c r="G474" s="39" t="str">
        <f t="shared" ref="G474:G537" si="46">IF(A474="","",C474-F474+D474)</f>
        <v/>
      </c>
      <c r="H474" s="39" t="str">
        <f t="shared" ref="H474:H537" si="47">IF(A474="","",H473-G474)</f>
        <v/>
      </c>
    </row>
    <row r="475" spans="1:8" x14ac:dyDescent="0.25">
      <c r="A475" s="35" t="str">
        <f t="shared" si="42"/>
        <v/>
      </c>
      <c r="B475" s="36" t="str">
        <f t="shared" si="43"/>
        <v/>
      </c>
      <c r="C475" s="37" t="str">
        <f t="shared" si="44"/>
        <v/>
      </c>
      <c r="D475" s="38"/>
      <c r="E475" s="38"/>
      <c r="F475" s="39" t="str">
        <f t="shared" si="45"/>
        <v/>
      </c>
      <c r="G475" s="39" t="str">
        <f t="shared" si="46"/>
        <v/>
      </c>
      <c r="H475" s="39" t="str">
        <f t="shared" si="47"/>
        <v/>
      </c>
    </row>
    <row r="476" spans="1:8" x14ac:dyDescent="0.25">
      <c r="A476" s="35" t="str">
        <f t="shared" si="42"/>
        <v/>
      </c>
      <c r="B476" s="36" t="str">
        <f t="shared" si="43"/>
        <v/>
      </c>
      <c r="C476" s="37" t="str">
        <f t="shared" si="44"/>
        <v/>
      </c>
      <c r="D476" s="38"/>
      <c r="E476" s="38"/>
      <c r="F476" s="39" t="str">
        <f t="shared" si="45"/>
        <v/>
      </c>
      <c r="G476" s="39" t="str">
        <f t="shared" si="46"/>
        <v/>
      </c>
      <c r="H476" s="39" t="str">
        <f t="shared" si="47"/>
        <v/>
      </c>
    </row>
    <row r="477" spans="1:8" x14ac:dyDescent="0.25">
      <c r="A477" s="35" t="str">
        <f t="shared" si="42"/>
        <v/>
      </c>
      <c r="B477" s="36" t="str">
        <f t="shared" si="43"/>
        <v/>
      </c>
      <c r="C477" s="37" t="str">
        <f t="shared" si="44"/>
        <v/>
      </c>
      <c r="D477" s="38"/>
      <c r="E477" s="38"/>
      <c r="F477" s="39" t="str">
        <f t="shared" si="45"/>
        <v/>
      </c>
      <c r="G477" s="39" t="str">
        <f t="shared" si="46"/>
        <v/>
      </c>
      <c r="H477" s="39" t="str">
        <f t="shared" si="47"/>
        <v/>
      </c>
    </row>
    <row r="478" spans="1:8" x14ac:dyDescent="0.25">
      <c r="A478" s="35" t="str">
        <f t="shared" si="42"/>
        <v/>
      </c>
      <c r="B478" s="36" t="str">
        <f t="shared" si="43"/>
        <v/>
      </c>
      <c r="C478" s="37" t="str">
        <f t="shared" si="44"/>
        <v/>
      </c>
      <c r="D478" s="38"/>
      <c r="E478" s="38"/>
      <c r="F478" s="39" t="str">
        <f t="shared" si="45"/>
        <v/>
      </c>
      <c r="G478" s="39" t="str">
        <f t="shared" si="46"/>
        <v/>
      </c>
      <c r="H478" s="39" t="str">
        <f t="shared" si="47"/>
        <v/>
      </c>
    </row>
    <row r="479" spans="1:8" x14ac:dyDescent="0.25">
      <c r="A479" s="35" t="str">
        <f t="shared" si="42"/>
        <v/>
      </c>
      <c r="B479" s="36" t="str">
        <f t="shared" si="43"/>
        <v/>
      </c>
      <c r="C479" s="37" t="str">
        <f t="shared" si="44"/>
        <v/>
      </c>
      <c r="D479" s="38"/>
      <c r="E479" s="38"/>
      <c r="F479" s="39" t="str">
        <f t="shared" si="45"/>
        <v/>
      </c>
      <c r="G479" s="39" t="str">
        <f t="shared" si="46"/>
        <v/>
      </c>
      <c r="H479" s="39" t="str">
        <f t="shared" si="47"/>
        <v/>
      </c>
    </row>
    <row r="480" spans="1:8" x14ac:dyDescent="0.25">
      <c r="A480" s="35" t="str">
        <f t="shared" si="42"/>
        <v/>
      </c>
      <c r="B480" s="36" t="str">
        <f t="shared" si="43"/>
        <v/>
      </c>
      <c r="C480" s="37" t="str">
        <f t="shared" si="44"/>
        <v/>
      </c>
      <c r="D480" s="38"/>
      <c r="E480" s="38"/>
      <c r="F480" s="39" t="str">
        <f t="shared" si="45"/>
        <v/>
      </c>
      <c r="G480" s="39" t="str">
        <f t="shared" si="46"/>
        <v/>
      </c>
      <c r="H480" s="39" t="str">
        <f t="shared" si="47"/>
        <v/>
      </c>
    </row>
    <row r="481" spans="1:8" x14ac:dyDescent="0.25">
      <c r="A481" s="35" t="str">
        <f t="shared" si="42"/>
        <v/>
      </c>
      <c r="B481" s="36" t="str">
        <f t="shared" si="43"/>
        <v/>
      </c>
      <c r="C481" s="37" t="str">
        <f t="shared" si="44"/>
        <v/>
      </c>
      <c r="D481" s="38"/>
      <c r="E481" s="38"/>
      <c r="F481" s="39" t="str">
        <f t="shared" si="45"/>
        <v/>
      </c>
      <c r="G481" s="39" t="str">
        <f t="shared" si="46"/>
        <v/>
      </c>
      <c r="H481" s="39" t="str">
        <f t="shared" si="47"/>
        <v/>
      </c>
    </row>
    <row r="482" spans="1:8" x14ac:dyDescent="0.25">
      <c r="A482" s="35" t="str">
        <f t="shared" si="42"/>
        <v/>
      </c>
      <c r="B482" s="36" t="str">
        <f t="shared" si="43"/>
        <v/>
      </c>
      <c r="C482" s="37" t="str">
        <f t="shared" si="44"/>
        <v/>
      </c>
      <c r="D482" s="38"/>
      <c r="E482" s="38"/>
      <c r="F482" s="39" t="str">
        <f t="shared" si="45"/>
        <v/>
      </c>
      <c r="G482" s="39" t="str">
        <f t="shared" si="46"/>
        <v/>
      </c>
      <c r="H482" s="39" t="str">
        <f t="shared" si="47"/>
        <v/>
      </c>
    </row>
    <row r="483" spans="1:8" x14ac:dyDescent="0.25">
      <c r="A483" s="35" t="str">
        <f t="shared" si="42"/>
        <v/>
      </c>
      <c r="B483" s="36" t="str">
        <f t="shared" si="43"/>
        <v/>
      </c>
      <c r="C483" s="37" t="str">
        <f t="shared" si="44"/>
        <v/>
      </c>
      <c r="D483" s="38"/>
      <c r="E483" s="38"/>
      <c r="F483" s="39" t="str">
        <f t="shared" si="45"/>
        <v/>
      </c>
      <c r="G483" s="39" t="str">
        <f t="shared" si="46"/>
        <v/>
      </c>
      <c r="H483" s="39" t="str">
        <f t="shared" si="47"/>
        <v/>
      </c>
    </row>
    <row r="484" spans="1:8" x14ac:dyDescent="0.25">
      <c r="A484" s="35" t="str">
        <f t="shared" si="42"/>
        <v/>
      </c>
      <c r="B484" s="36" t="str">
        <f t="shared" si="43"/>
        <v/>
      </c>
      <c r="C484" s="37" t="str">
        <f t="shared" si="44"/>
        <v/>
      </c>
      <c r="D484" s="38"/>
      <c r="E484" s="38"/>
      <c r="F484" s="39" t="str">
        <f t="shared" si="45"/>
        <v/>
      </c>
      <c r="G484" s="39" t="str">
        <f t="shared" si="46"/>
        <v/>
      </c>
      <c r="H484" s="39" t="str">
        <f t="shared" si="47"/>
        <v/>
      </c>
    </row>
    <row r="485" spans="1:8" x14ac:dyDescent="0.25">
      <c r="A485" s="35" t="str">
        <f t="shared" si="42"/>
        <v/>
      </c>
      <c r="B485" s="36" t="str">
        <f t="shared" si="43"/>
        <v/>
      </c>
      <c r="C485" s="37" t="str">
        <f t="shared" si="44"/>
        <v/>
      </c>
      <c r="D485" s="38"/>
      <c r="E485" s="38"/>
      <c r="F485" s="39" t="str">
        <f t="shared" si="45"/>
        <v/>
      </c>
      <c r="G485" s="39" t="str">
        <f t="shared" si="46"/>
        <v/>
      </c>
      <c r="H485" s="39" t="str">
        <f t="shared" si="47"/>
        <v/>
      </c>
    </row>
    <row r="486" spans="1:8" x14ac:dyDescent="0.25">
      <c r="A486" s="35" t="str">
        <f t="shared" si="42"/>
        <v/>
      </c>
      <c r="B486" s="36" t="str">
        <f t="shared" si="43"/>
        <v/>
      </c>
      <c r="C486" s="37" t="str">
        <f t="shared" si="44"/>
        <v/>
      </c>
      <c r="D486" s="38"/>
      <c r="E486" s="38"/>
      <c r="F486" s="39" t="str">
        <f t="shared" si="45"/>
        <v/>
      </c>
      <c r="G486" s="39" t="str">
        <f t="shared" si="46"/>
        <v/>
      </c>
      <c r="H486" s="39" t="str">
        <f t="shared" si="47"/>
        <v/>
      </c>
    </row>
    <row r="487" spans="1:8" x14ac:dyDescent="0.25">
      <c r="A487" s="35" t="str">
        <f t="shared" si="42"/>
        <v/>
      </c>
      <c r="B487" s="36" t="str">
        <f t="shared" si="43"/>
        <v/>
      </c>
      <c r="C487" s="37" t="str">
        <f t="shared" si="44"/>
        <v/>
      </c>
      <c r="D487" s="38"/>
      <c r="E487" s="38"/>
      <c r="F487" s="39" t="str">
        <f t="shared" si="45"/>
        <v/>
      </c>
      <c r="G487" s="39" t="str">
        <f t="shared" si="46"/>
        <v/>
      </c>
      <c r="H487" s="39" t="str">
        <f t="shared" si="47"/>
        <v/>
      </c>
    </row>
    <row r="488" spans="1:8" x14ac:dyDescent="0.25">
      <c r="A488" s="35" t="str">
        <f t="shared" si="42"/>
        <v/>
      </c>
      <c r="B488" s="36" t="str">
        <f t="shared" si="43"/>
        <v/>
      </c>
      <c r="C488" s="37" t="str">
        <f t="shared" si="44"/>
        <v/>
      </c>
      <c r="D488" s="38"/>
      <c r="E488" s="38"/>
      <c r="F488" s="39" t="str">
        <f t="shared" si="45"/>
        <v/>
      </c>
      <c r="G488" s="39" t="str">
        <f t="shared" si="46"/>
        <v/>
      </c>
      <c r="H488" s="39" t="str">
        <f t="shared" si="47"/>
        <v/>
      </c>
    </row>
    <row r="489" spans="1:8" x14ac:dyDescent="0.25">
      <c r="A489" s="35" t="str">
        <f t="shared" si="42"/>
        <v/>
      </c>
      <c r="B489" s="36" t="str">
        <f t="shared" si="43"/>
        <v/>
      </c>
      <c r="C489" s="37" t="str">
        <f t="shared" si="44"/>
        <v/>
      </c>
      <c r="D489" s="38"/>
      <c r="E489" s="38"/>
      <c r="F489" s="39" t="str">
        <f t="shared" si="45"/>
        <v/>
      </c>
      <c r="G489" s="39" t="str">
        <f t="shared" si="46"/>
        <v/>
      </c>
      <c r="H489" s="39" t="str">
        <f t="shared" si="47"/>
        <v/>
      </c>
    </row>
    <row r="490" spans="1:8" x14ac:dyDescent="0.25">
      <c r="A490" s="35" t="str">
        <f t="shared" si="42"/>
        <v/>
      </c>
      <c r="B490" s="36" t="str">
        <f t="shared" si="43"/>
        <v/>
      </c>
      <c r="C490" s="37" t="str">
        <f t="shared" si="44"/>
        <v/>
      </c>
      <c r="D490" s="38"/>
      <c r="E490" s="38"/>
      <c r="F490" s="39" t="str">
        <f t="shared" si="45"/>
        <v/>
      </c>
      <c r="G490" s="39" t="str">
        <f t="shared" si="46"/>
        <v/>
      </c>
      <c r="H490" s="39" t="str">
        <f t="shared" si="47"/>
        <v/>
      </c>
    </row>
    <row r="491" spans="1:8" x14ac:dyDescent="0.25">
      <c r="A491" s="35" t="str">
        <f t="shared" si="42"/>
        <v/>
      </c>
      <c r="B491" s="36" t="str">
        <f t="shared" si="43"/>
        <v/>
      </c>
      <c r="C491" s="37" t="str">
        <f t="shared" si="44"/>
        <v/>
      </c>
      <c r="D491" s="38"/>
      <c r="E491" s="38"/>
      <c r="F491" s="39" t="str">
        <f t="shared" si="45"/>
        <v/>
      </c>
      <c r="G491" s="39" t="str">
        <f t="shared" si="46"/>
        <v/>
      </c>
      <c r="H491" s="39" t="str">
        <f t="shared" si="47"/>
        <v/>
      </c>
    </row>
    <row r="492" spans="1:8" x14ac:dyDescent="0.25">
      <c r="A492" s="35" t="str">
        <f t="shared" si="42"/>
        <v/>
      </c>
      <c r="B492" s="36" t="str">
        <f t="shared" si="43"/>
        <v/>
      </c>
      <c r="C492" s="37" t="str">
        <f t="shared" si="44"/>
        <v/>
      </c>
      <c r="D492" s="38"/>
      <c r="E492" s="38"/>
      <c r="F492" s="39" t="str">
        <f t="shared" si="45"/>
        <v/>
      </c>
      <c r="G492" s="39" t="str">
        <f t="shared" si="46"/>
        <v/>
      </c>
      <c r="H492" s="39" t="str">
        <f t="shared" si="47"/>
        <v/>
      </c>
    </row>
    <row r="493" spans="1:8" x14ac:dyDescent="0.25">
      <c r="A493" s="35" t="str">
        <f t="shared" si="42"/>
        <v/>
      </c>
      <c r="B493" s="36" t="str">
        <f t="shared" si="43"/>
        <v/>
      </c>
      <c r="C493" s="37" t="str">
        <f t="shared" si="44"/>
        <v/>
      </c>
      <c r="D493" s="38"/>
      <c r="E493" s="38"/>
      <c r="F493" s="39" t="str">
        <f t="shared" si="45"/>
        <v/>
      </c>
      <c r="G493" s="39" t="str">
        <f t="shared" si="46"/>
        <v/>
      </c>
      <c r="H493" s="39" t="str">
        <f t="shared" si="47"/>
        <v/>
      </c>
    </row>
    <row r="494" spans="1:8" x14ac:dyDescent="0.25">
      <c r="A494" s="35" t="str">
        <f t="shared" si="42"/>
        <v/>
      </c>
      <c r="B494" s="36" t="str">
        <f t="shared" si="43"/>
        <v/>
      </c>
      <c r="C494" s="37" t="str">
        <f t="shared" si="44"/>
        <v/>
      </c>
      <c r="D494" s="38"/>
      <c r="E494" s="38"/>
      <c r="F494" s="39" t="str">
        <f t="shared" si="45"/>
        <v/>
      </c>
      <c r="G494" s="39" t="str">
        <f t="shared" si="46"/>
        <v/>
      </c>
      <c r="H494" s="39" t="str">
        <f t="shared" si="47"/>
        <v/>
      </c>
    </row>
    <row r="495" spans="1:8" x14ac:dyDescent="0.25">
      <c r="A495" s="35" t="str">
        <f t="shared" si="42"/>
        <v/>
      </c>
      <c r="B495" s="36" t="str">
        <f t="shared" si="43"/>
        <v/>
      </c>
      <c r="C495" s="37" t="str">
        <f t="shared" si="44"/>
        <v/>
      </c>
      <c r="D495" s="38"/>
      <c r="E495" s="38"/>
      <c r="F495" s="39" t="str">
        <f t="shared" si="45"/>
        <v/>
      </c>
      <c r="G495" s="39" t="str">
        <f t="shared" si="46"/>
        <v/>
      </c>
      <c r="H495" s="39" t="str">
        <f t="shared" si="47"/>
        <v/>
      </c>
    </row>
    <row r="496" spans="1:8" x14ac:dyDescent="0.25">
      <c r="A496" s="35" t="str">
        <f t="shared" si="42"/>
        <v/>
      </c>
      <c r="B496" s="36" t="str">
        <f t="shared" si="43"/>
        <v/>
      </c>
      <c r="C496" s="37" t="str">
        <f t="shared" si="44"/>
        <v/>
      </c>
      <c r="D496" s="38"/>
      <c r="E496" s="38"/>
      <c r="F496" s="39" t="str">
        <f t="shared" si="45"/>
        <v/>
      </c>
      <c r="G496" s="39" t="str">
        <f t="shared" si="46"/>
        <v/>
      </c>
      <c r="H496" s="39" t="str">
        <f t="shared" si="47"/>
        <v/>
      </c>
    </row>
    <row r="497" spans="1:8" x14ac:dyDescent="0.25">
      <c r="A497" s="35" t="str">
        <f t="shared" si="42"/>
        <v/>
      </c>
      <c r="B497" s="36" t="str">
        <f t="shared" si="43"/>
        <v/>
      </c>
      <c r="C497" s="37" t="str">
        <f t="shared" si="44"/>
        <v/>
      </c>
      <c r="D497" s="38"/>
      <c r="E497" s="38"/>
      <c r="F497" s="39" t="str">
        <f t="shared" si="45"/>
        <v/>
      </c>
      <c r="G497" s="39" t="str">
        <f t="shared" si="46"/>
        <v/>
      </c>
      <c r="H497" s="39" t="str">
        <f t="shared" si="47"/>
        <v/>
      </c>
    </row>
    <row r="498" spans="1:8" x14ac:dyDescent="0.25">
      <c r="A498" s="35" t="str">
        <f t="shared" si="42"/>
        <v/>
      </c>
      <c r="B498" s="36" t="str">
        <f t="shared" si="43"/>
        <v/>
      </c>
      <c r="C498" s="37" t="str">
        <f t="shared" si="44"/>
        <v/>
      </c>
      <c r="D498" s="38"/>
      <c r="E498" s="38"/>
      <c r="F498" s="39" t="str">
        <f t="shared" si="45"/>
        <v/>
      </c>
      <c r="G498" s="39" t="str">
        <f t="shared" si="46"/>
        <v/>
      </c>
      <c r="H498" s="39" t="str">
        <f t="shared" si="47"/>
        <v/>
      </c>
    </row>
    <row r="499" spans="1:8" x14ac:dyDescent="0.25">
      <c r="A499" s="35" t="str">
        <f t="shared" si="42"/>
        <v/>
      </c>
      <c r="B499" s="36" t="str">
        <f t="shared" si="43"/>
        <v/>
      </c>
      <c r="C499" s="37" t="str">
        <f t="shared" si="44"/>
        <v/>
      </c>
      <c r="D499" s="38"/>
      <c r="E499" s="38"/>
      <c r="F499" s="39" t="str">
        <f t="shared" si="45"/>
        <v/>
      </c>
      <c r="G499" s="39" t="str">
        <f t="shared" si="46"/>
        <v/>
      </c>
      <c r="H499" s="39" t="str">
        <f t="shared" si="47"/>
        <v/>
      </c>
    </row>
    <row r="500" spans="1:8" x14ac:dyDescent="0.25">
      <c r="A500" s="35" t="str">
        <f t="shared" si="42"/>
        <v/>
      </c>
      <c r="B500" s="36" t="str">
        <f t="shared" si="43"/>
        <v/>
      </c>
      <c r="C500" s="37" t="str">
        <f t="shared" si="44"/>
        <v/>
      </c>
      <c r="D500" s="38"/>
      <c r="E500" s="38"/>
      <c r="F500" s="39" t="str">
        <f t="shared" si="45"/>
        <v/>
      </c>
      <c r="G500" s="39" t="str">
        <f t="shared" si="46"/>
        <v/>
      </c>
      <c r="H500" s="39" t="str">
        <f t="shared" si="47"/>
        <v/>
      </c>
    </row>
    <row r="501" spans="1:8" x14ac:dyDescent="0.25">
      <c r="A501" s="35" t="str">
        <f t="shared" si="42"/>
        <v/>
      </c>
      <c r="B501" s="36" t="str">
        <f t="shared" si="43"/>
        <v/>
      </c>
      <c r="C501" s="37" t="str">
        <f t="shared" si="44"/>
        <v/>
      </c>
      <c r="D501" s="38"/>
      <c r="E501" s="38"/>
      <c r="F501" s="39" t="str">
        <f t="shared" si="45"/>
        <v/>
      </c>
      <c r="G501" s="39" t="str">
        <f t="shared" si="46"/>
        <v/>
      </c>
      <c r="H501" s="39" t="str">
        <f t="shared" si="47"/>
        <v/>
      </c>
    </row>
    <row r="502" spans="1:8" x14ac:dyDescent="0.25">
      <c r="A502" s="35" t="str">
        <f t="shared" si="42"/>
        <v/>
      </c>
      <c r="B502" s="36" t="str">
        <f t="shared" si="43"/>
        <v/>
      </c>
      <c r="C502" s="37" t="str">
        <f t="shared" si="44"/>
        <v/>
      </c>
      <c r="D502" s="38"/>
      <c r="E502" s="38"/>
      <c r="F502" s="39" t="str">
        <f t="shared" si="45"/>
        <v/>
      </c>
      <c r="G502" s="39" t="str">
        <f t="shared" si="46"/>
        <v/>
      </c>
      <c r="H502" s="39" t="str">
        <f t="shared" si="47"/>
        <v/>
      </c>
    </row>
    <row r="503" spans="1:8" x14ac:dyDescent="0.25">
      <c r="A503" s="35" t="str">
        <f t="shared" si="42"/>
        <v/>
      </c>
      <c r="B503" s="36" t="str">
        <f t="shared" si="43"/>
        <v/>
      </c>
      <c r="C503" s="37" t="str">
        <f t="shared" si="44"/>
        <v/>
      </c>
      <c r="D503" s="38"/>
      <c r="E503" s="38"/>
      <c r="F503" s="39" t="str">
        <f t="shared" si="45"/>
        <v/>
      </c>
      <c r="G503" s="39" t="str">
        <f t="shared" si="46"/>
        <v/>
      </c>
      <c r="H503" s="39" t="str">
        <f t="shared" si="47"/>
        <v/>
      </c>
    </row>
    <row r="504" spans="1:8" x14ac:dyDescent="0.25">
      <c r="A504" s="35" t="str">
        <f t="shared" si="42"/>
        <v/>
      </c>
      <c r="B504" s="36" t="str">
        <f t="shared" si="43"/>
        <v/>
      </c>
      <c r="C504" s="37" t="str">
        <f t="shared" si="44"/>
        <v/>
      </c>
      <c r="D504" s="38"/>
      <c r="E504" s="38"/>
      <c r="F504" s="39" t="str">
        <f t="shared" si="45"/>
        <v/>
      </c>
      <c r="G504" s="39" t="str">
        <f t="shared" si="46"/>
        <v/>
      </c>
      <c r="H504" s="39" t="str">
        <f t="shared" si="47"/>
        <v/>
      </c>
    </row>
    <row r="505" spans="1:8" x14ac:dyDescent="0.25">
      <c r="A505" s="35" t="str">
        <f t="shared" si="42"/>
        <v/>
      </c>
      <c r="B505" s="36" t="str">
        <f t="shared" si="43"/>
        <v/>
      </c>
      <c r="C505" s="37" t="str">
        <f t="shared" si="44"/>
        <v/>
      </c>
      <c r="D505" s="38"/>
      <c r="E505" s="38"/>
      <c r="F505" s="39" t="str">
        <f t="shared" si="45"/>
        <v/>
      </c>
      <c r="G505" s="39" t="str">
        <f t="shared" si="46"/>
        <v/>
      </c>
      <c r="H505" s="39" t="str">
        <f t="shared" si="47"/>
        <v/>
      </c>
    </row>
    <row r="506" spans="1:8" x14ac:dyDescent="0.25">
      <c r="A506" s="35" t="str">
        <f t="shared" si="42"/>
        <v/>
      </c>
      <c r="B506" s="36" t="str">
        <f t="shared" si="43"/>
        <v/>
      </c>
      <c r="C506" s="37" t="str">
        <f t="shared" si="44"/>
        <v/>
      </c>
      <c r="D506" s="38"/>
      <c r="E506" s="38"/>
      <c r="F506" s="39" t="str">
        <f t="shared" si="45"/>
        <v/>
      </c>
      <c r="G506" s="39" t="str">
        <f t="shared" si="46"/>
        <v/>
      </c>
      <c r="H506" s="39" t="str">
        <f t="shared" si="47"/>
        <v/>
      </c>
    </row>
    <row r="507" spans="1:8" x14ac:dyDescent="0.25">
      <c r="A507" s="35" t="str">
        <f t="shared" si="42"/>
        <v/>
      </c>
      <c r="B507" s="36" t="str">
        <f t="shared" si="43"/>
        <v/>
      </c>
      <c r="C507" s="37" t="str">
        <f t="shared" si="44"/>
        <v/>
      </c>
      <c r="D507" s="38"/>
      <c r="E507" s="38"/>
      <c r="F507" s="39" t="str">
        <f t="shared" si="45"/>
        <v/>
      </c>
      <c r="G507" s="39" t="str">
        <f t="shared" si="46"/>
        <v/>
      </c>
      <c r="H507" s="39" t="str">
        <f t="shared" si="47"/>
        <v/>
      </c>
    </row>
    <row r="508" spans="1:8" x14ac:dyDescent="0.25">
      <c r="A508" s="35" t="str">
        <f t="shared" si="42"/>
        <v/>
      </c>
      <c r="B508" s="36" t="str">
        <f t="shared" si="43"/>
        <v/>
      </c>
      <c r="C508" s="37" t="str">
        <f t="shared" si="44"/>
        <v/>
      </c>
      <c r="D508" s="38"/>
      <c r="E508" s="38"/>
      <c r="F508" s="39" t="str">
        <f t="shared" si="45"/>
        <v/>
      </c>
      <c r="G508" s="39" t="str">
        <f t="shared" si="46"/>
        <v/>
      </c>
      <c r="H508" s="39" t="str">
        <f t="shared" si="47"/>
        <v/>
      </c>
    </row>
    <row r="509" spans="1:8" x14ac:dyDescent="0.25">
      <c r="A509" s="35" t="str">
        <f t="shared" si="42"/>
        <v/>
      </c>
      <c r="B509" s="36" t="str">
        <f t="shared" si="43"/>
        <v/>
      </c>
      <c r="C509" s="37" t="str">
        <f t="shared" si="44"/>
        <v/>
      </c>
      <c r="D509" s="38"/>
      <c r="E509" s="38"/>
      <c r="F509" s="39" t="str">
        <f t="shared" si="45"/>
        <v/>
      </c>
      <c r="G509" s="39" t="str">
        <f t="shared" si="46"/>
        <v/>
      </c>
      <c r="H509" s="39" t="str">
        <f t="shared" si="47"/>
        <v/>
      </c>
    </row>
    <row r="510" spans="1:8" x14ac:dyDescent="0.25">
      <c r="A510" s="35" t="str">
        <f t="shared" si="42"/>
        <v/>
      </c>
      <c r="B510" s="36" t="str">
        <f t="shared" si="43"/>
        <v/>
      </c>
      <c r="C510" s="37" t="str">
        <f t="shared" si="44"/>
        <v/>
      </c>
      <c r="D510" s="38"/>
      <c r="E510" s="38"/>
      <c r="F510" s="39" t="str">
        <f t="shared" si="45"/>
        <v/>
      </c>
      <c r="G510" s="39" t="str">
        <f t="shared" si="46"/>
        <v/>
      </c>
      <c r="H510" s="39" t="str">
        <f t="shared" si="47"/>
        <v/>
      </c>
    </row>
    <row r="511" spans="1:8" x14ac:dyDescent="0.25">
      <c r="A511" s="35" t="str">
        <f t="shared" si="42"/>
        <v/>
      </c>
      <c r="B511" s="36" t="str">
        <f t="shared" si="43"/>
        <v/>
      </c>
      <c r="C511" s="37" t="str">
        <f t="shared" si="44"/>
        <v/>
      </c>
      <c r="D511" s="38"/>
      <c r="E511" s="38"/>
      <c r="F511" s="39" t="str">
        <f t="shared" si="45"/>
        <v/>
      </c>
      <c r="G511" s="39" t="str">
        <f t="shared" si="46"/>
        <v/>
      </c>
      <c r="H511" s="39" t="str">
        <f t="shared" si="47"/>
        <v/>
      </c>
    </row>
    <row r="512" spans="1:8" x14ac:dyDescent="0.25">
      <c r="A512" s="35" t="str">
        <f t="shared" si="42"/>
        <v/>
      </c>
      <c r="B512" s="36" t="str">
        <f t="shared" si="43"/>
        <v/>
      </c>
      <c r="C512" s="37" t="str">
        <f t="shared" si="44"/>
        <v/>
      </c>
      <c r="D512" s="38"/>
      <c r="E512" s="38"/>
      <c r="F512" s="39" t="str">
        <f t="shared" si="45"/>
        <v/>
      </c>
      <c r="G512" s="39" t="str">
        <f t="shared" si="46"/>
        <v/>
      </c>
      <c r="H512" s="39" t="str">
        <f t="shared" si="47"/>
        <v/>
      </c>
    </row>
    <row r="513" spans="1:8" x14ac:dyDescent="0.25">
      <c r="A513" s="35" t="str">
        <f t="shared" si="42"/>
        <v/>
      </c>
      <c r="B513" s="36" t="str">
        <f t="shared" si="43"/>
        <v/>
      </c>
      <c r="C513" s="37" t="str">
        <f t="shared" si="44"/>
        <v/>
      </c>
      <c r="D513" s="38"/>
      <c r="E513" s="38"/>
      <c r="F513" s="39" t="str">
        <f t="shared" si="45"/>
        <v/>
      </c>
      <c r="G513" s="39" t="str">
        <f t="shared" si="46"/>
        <v/>
      </c>
      <c r="H513" s="39" t="str">
        <f t="shared" si="47"/>
        <v/>
      </c>
    </row>
    <row r="514" spans="1:8" x14ac:dyDescent="0.25">
      <c r="A514" s="35" t="str">
        <f t="shared" si="42"/>
        <v/>
      </c>
      <c r="B514" s="36" t="str">
        <f t="shared" si="43"/>
        <v/>
      </c>
      <c r="C514" s="37" t="str">
        <f t="shared" si="44"/>
        <v/>
      </c>
      <c r="D514" s="38"/>
      <c r="E514" s="38"/>
      <c r="F514" s="39" t="str">
        <f t="shared" si="45"/>
        <v/>
      </c>
      <c r="G514" s="39" t="str">
        <f t="shared" si="46"/>
        <v/>
      </c>
      <c r="H514" s="39" t="str">
        <f t="shared" si="47"/>
        <v/>
      </c>
    </row>
    <row r="515" spans="1:8" x14ac:dyDescent="0.25">
      <c r="A515" s="35" t="str">
        <f t="shared" si="42"/>
        <v/>
      </c>
      <c r="B515" s="36" t="str">
        <f t="shared" si="43"/>
        <v/>
      </c>
      <c r="C515" s="37" t="str">
        <f t="shared" si="44"/>
        <v/>
      </c>
      <c r="D515" s="38"/>
      <c r="E515" s="38"/>
      <c r="F515" s="39" t="str">
        <f t="shared" si="45"/>
        <v/>
      </c>
      <c r="G515" s="39" t="str">
        <f t="shared" si="46"/>
        <v/>
      </c>
      <c r="H515" s="39" t="str">
        <f t="shared" si="47"/>
        <v/>
      </c>
    </row>
    <row r="516" spans="1:8" x14ac:dyDescent="0.25">
      <c r="A516" s="35" t="str">
        <f t="shared" si="42"/>
        <v/>
      </c>
      <c r="B516" s="36" t="str">
        <f t="shared" si="43"/>
        <v/>
      </c>
      <c r="C516" s="37" t="str">
        <f t="shared" si="44"/>
        <v/>
      </c>
      <c r="D516" s="38"/>
      <c r="E516" s="38"/>
      <c r="F516" s="39" t="str">
        <f t="shared" si="45"/>
        <v/>
      </c>
      <c r="G516" s="39" t="str">
        <f t="shared" si="46"/>
        <v/>
      </c>
      <c r="H516" s="39" t="str">
        <f t="shared" si="47"/>
        <v/>
      </c>
    </row>
    <row r="517" spans="1:8" x14ac:dyDescent="0.25">
      <c r="A517" s="35" t="str">
        <f t="shared" si="42"/>
        <v/>
      </c>
      <c r="B517" s="36" t="str">
        <f t="shared" si="43"/>
        <v/>
      </c>
      <c r="C517" s="37" t="str">
        <f t="shared" si="44"/>
        <v/>
      </c>
      <c r="D517" s="38"/>
      <c r="E517" s="38"/>
      <c r="F517" s="39" t="str">
        <f t="shared" si="45"/>
        <v/>
      </c>
      <c r="G517" s="39" t="str">
        <f t="shared" si="46"/>
        <v/>
      </c>
      <c r="H517" s="39" t="str">
        <f t="shared" si="47"/>
        <v/>
      </c>
    </row>
    <row r="518" spans="1:8" x14ac:dyDescent="0.25">
      <c r="A518" s="35" t="str">
        <f t="shared" si="42"/>
        <v/>
      </c>
      <c r="B518" s="36" t="str">
        <f t="shared" si="43"/>
        <v/>
      </c>
      <c r="C518" s="37" t="str">
        <f t="shared" si="44"/>
        <v/>
      </c>
      <c r="D518" s="38"/>
      <c r="E518" s="38"/>
      <c r="F518" s="39" t="str">
        <f t="shared" si="45"/>
        <v/>
      </c>
      <c r="G518" s="39" t="str">
        <f t="shared" si="46"/>
        <v/>
      </c>
      <c r="H518" s="39" t="str">
        <f t="shared" si="47"/>
        <v/>
      </c>
    </row>
    <row r="519" spans="1:8" x14ac:dyDescent="0.25">
      <c r="A519" s="35" t="str">
        <f t="shared" si="42"/>
        <v/>
      </c>
      <c r="B519" s="36" t="str">
        <f t="shared" si="43"/>
        <v/>
      </c>
      <c r="C519" s="37" t="str">
        <f t="shared" si="44"/>
        <v/>
      </c>
      <c r="D519" s="38"/>
      <c r="E519" s="38"/>
      <c r="F519" s="39" t="str">
        <f t="shared" si="45"/>
        <v/>
      </c>
      <c r="G519" s="39" t="str">
        <f t="shared" si="46"/>
        <v/>
      </c>
      <c r="H519" s="39" t="str">
        <f t="shared" si="47"/>
        <v/>
      </c>
    </row>
    <row r="520" spans="1:8" x14ac:dyDescent="0.25">
      <c r="A520" s="35" t="str">
        <f t="shared" si="42"/>
        <v/>
      </c>
      <c r="B520" s="36" t="str">
        <f t="shared" si="43"/>
        <v/>
      </c>
      <c r="C520" s="37" t="str">
        <f t="shared" si="44"/>
        <v/>
      </c>
      <c r="D520" s="38"/>
      <c r="E520" s="38"/>
      <c r="F520" s="39" t="str">
        <f t="shared" si="45"/>
        <v/>
      </c>
      <c r="G520" s="39" t="str">
        <f t="shared" si="46"/>
        <v/>
      </c>
      <c r="H520" s="39" t="str">
        <f t="shared" si="47"/>
        <v/>
      </c>
    </row>
    <row r="521" spans="1:8" x14ac:dyDescent="0.25">
      <c r="A521" s="35" t="str">
        <f t="shared" si="42"/>
        <v/>
      </c>
      <c r="B521" s="36" t="str">
        <f t="shared" si="43"/>
        <v/>
      </c>
      <c r="C521" s="37" t="str">
        <f t="shared" si="44"/>
        <v/>
      </c>
      <c r="D521" s="38"/>
      <c r="E521" s="38"/>
      <c r="F521" s="39" t="str">
        <f t="shared" si="45"/>
        <v/>
      </c>
      <c r="G521" s="39" t="str">
        <f t="shared" si="46"/>
        <v/>
      </c>
      <c r="H521" s="39" t="str">
        <f t="shared" si="47"/>
        <v/>
      </c>
    </row>
    <row r="522" spans="1:8" x14ac:dyDescent="0.25">
      <c r="A522" s="35" t="str">
        <f t="shared" si="42"/>
        <v/>
      </c>
      <c r="B522" s="36" t="str">
        <f t="shared" si="43"/>
        <v/>
      </c>
      <c r="C522" s="37" t="str">
        <f t="shared" si="44"/>
        <v/>
      </c>
      <c r="D522" s="38"/>
      <c r="E522" s="38"/>
      <c r="F522" s="39" t="str">
        <f t="shared" si="45"/>
        <v/>
      </c>
      <c r="G522" s="39" t="str">
        <f t="shared" si="46"/>
        <v/>
      </c>
      <c r="H522" s="39" t="str">
        <f t="shared" si="47"/>
        <v/>
      </c>
    </row>
    <row r="523" spans="1:8" x14ac:dyDescent="0.25">
      <c r="A523" s="35" t="str">
        <f t="shared" si="42"/>
        <v/>
      </c>
      <c r="B523" s="36" t="str">
        <f t="shared" si="43"/>
        <v/>
      </c>
      <c r="C523" s="37" t="str">
        <f t="shared" si="44"/>
        <v/>
      </c>
      <c r="D523" s="38"/>
      <c r="E523" s="38"/>
      <c r="F523" s="39" t="str">
        <f t="shared" si="45"/>
        <v/>
      </c>
      <c r="G523" s="39" t="str">
        <f t="shared" si="46"/>
        <v/>
      </c>
      <c r="H523" s="39" t="str">
        <f t="shared" si="47"/>
        <v/>
      </c>
    </row>
    <row r="524" spans="1:8" x14ac:dyDescent="0.25">
      <c r="A524" s="35" t="str">
        <f t="shared" si="42"/>
        <v/>
      </c>
      <c r="B524" s="36" t="str">
        <f t="shared" si="43"/>
        <v/>
      </c>
      <c r="C524" s="37" t="str">
        <f t="shared" si="44"/>
        <v/>
      </c>
      <c r="D524" s="38"/>
      <c r="E524" s="38"/>
      <c r="F524" s="39" t="str">
        <f t="shared" si="45"/>
        <v/>
      </c>
      <c r="G524" s="39" t="str">
        <f t="shared" si="46"/>
        <v/>
      </c>
      <c r="H524" s="39" t="str">
        <f t="shared" si="47"/>
        <v/>
      </c>
    </row>
    <row r="525" spans="1:8" x14ac:dyDescent="0.25">
      <c r="A525" s="35" t="str">
        <f t="shared" si="42"/>
        <v/>
      </c>
      <c r="B525" s="36" t="str">
        <f t="shared" si="43"/>
        <v/>
      </c>
      <c r="C525" s="37" t="str">
        <f t="shared" si="44"/>
        <v/>
      </c>
      <c r="D525" s="38"/>
      <c r="E525" s="38"/>
      <c r="F525" s="39" t="str">
        <f t="shared" si="45"/>
        <v/>
      </c>
      <c r="G525" s="39" t="str">
        <f t="shared" si="46"/>
        <v/>
      </c>
      <c r="H525" s="39" t="str">
        <f t="shared" si="47"/>
        <v/>
      </c>
    </row>
    <row r="526" spans="1:8" x14ac:dyDescent="0.25">
      <c r="A526" s="35" t="str">
        <f t="shared" si="42"/>
        <v/>
      </c>
      <c r="B526" s="36" t="str">
        <f t="shared" si="43"/>
        <v/>
      </c>
      <c r="C526" s="37" t="str">
        <f t="shared" si="44"/>
        <v/>
      </c>
      <c r="D526" s="38"/>
      <c r="E526" s="38"/>
      <c r="F526" s="39" t="str">
        <f t="shared" si="45"/>
        <v/>
      </c>
      <c r="G526" s="39" t="str">
        <f t="shared" si="46"/>
        <v/>
      </c>
      <c r="H526" s="39" t="str">
        <f t="shared" si="47"/>
        <v/>
      </c>
    </row>
    <row r="527" spans="1:8" x14ac:dyDescent="0.25">
      <c r="A527" s="35" t="str">
        <f t="shared" si="42"/>
        <v/>
      </c>
      <c r="B527" s="36" t="str">
        <f t="shared" si="43"/>
        <v/>
      </c>
      <c r="C527" s="37" t="str">
        <f t="shared" si="44"/>
        <v/>
      </c>
      <c r="D527" s="38"/>
      <c r="E527" s="38"/>
      <c r="F527" s="39" t="str">
        <f t="shared" si="45"/>
        <v/>
      </c>
      <c r="G527" s="39" t="str">
        <f t="shared" si="46"/>
        <v/>
      </c>
      <c r="H527" s="39" t="str">
        <f t="shared" si="47"/>
        <v/>
      </c>
    </row>
    <row r="528" spans="1:8" x14ac:dyDescent="0.25">
      <c r="A528" s="35" t="str">
        <f t="shared" si="42"/>
        <v/>
      </c>
      <c r="B528" s="36" t="str">
        <f t="shared" si="43"/>
        <v/>
      </c>
      <c r="C528" s="37" t="str">
        <f t="shared" si="44"/>
        <v/>
      </c>
      <c r="D528" s="38"/>
      <c r="E528" s="38"/>
      <c r="F528" s="39" t="str">
        <f t="shared" si="45"/>
        <v/>
      </c>
      <c r="G528" s="39" t="str">
        <f t="shared" si="46"/>
        <v/>
      </c>
      <c r="H528" s="39" t="str">
        <f t="shared" si="47"/>
        <v/>
      </c>
    </row>
    <row r="529" spans="1:8" x14ac:dyDescent="0.25">
      <c r="A529" s="35" t="str">
        <f t="shared" si="42"/>
        <v/>
      </c>
      <c r="B529" s="36" t="str">
        <f t="shared" si="43"/>
        <v/>
      </c>
      <c r="C529" s="37" t="str">
        <f t="shared" si="44"/>
        <v/>
      </c>
      <c r="D529" s="38"/>
      <c r="E529" s="38"/>
      <c r="F529" s="39" t="str">
        <f t="shared" si="45"/>
        <v/>
      </c>
      <c r="G529" s="39" t="str">
        <f t="shared" si="46"/>
        <v/>
      </c>
      <c r="H529" s="39" t="str">
        <f t="shared" si="47"/>
        <v/>
      </c>
    </row>
    <row r="530" spans="1:8" x14ac:dyDescent="0.25">
      <c r="A530" s="35" t="str">
        <f t="shared" si="42"/>
        <v/>
      </c>
      <c r="B530" s="36" t="str">
        <f t="shared" si="43"/>
        <v/>
      </c>
      <c r="C530" s="37" t="str">
        <f t="shared" si="44"/>
        <v/>
      </c>
      <c r="D530" s="38"/>
      <c r="E530" s="38"/>
      <c r="F530" s="39" t="str">
        <f t="shared" si="45"/>
        <v/>
      </c>
      <c r="G530" s="39" t="str">
        <f t="shared" si="46"/>
        <v/>
      </c>
      <c r="H530" s="39" t="str">
        <f t="shared" si="47"/>
        <v/>
      </c>
    </row>
    <row r="531" spans="1:8" x14ac:dyDescent="0.25">
      <c r="A531" s="35" t="str">
        <f t="shared" si="42"/>
        <v/>
      </c>
      <c r="B531" s="36" t="str">
        <f t="shared" si="43"/>
        <v/>
      </c>
      <c r="C531" s="37" t="str">
        <f t="shared" si="44"/>
        <v/>
      </c>
      <c r="D531" s="38"/>
      <c r="E531" s="38"/>
      <c r="F531" s="39" t="str">
        <f t="shared" si="45"/>
        <v/>
      </c>
      <c r="G531" s="39" t="str">
        <f t="shared" si="46"/>
        <v/>
      </c>
      <c r="H531" s="39" t="str">
        <f t="shared" si="47"/>
        <v/>
      </c>
    </row>
    <row r="532" spans="1:8" x14ac:dyDescent="0.25">
      <c r="A532" s="35" t="str">
        <f t="shared" si="42"/>
        <v/>
      </c>
      <c r="B532" s="36" t="str">
        <f t="shared" si="43"/>
        <v/>
      </c>
      <c r="C532" s="37" t="str">
        <f t="shared" si="44"/>
        <v/>
      </c>
      <c r="D532" s="38"/>
      <c r="E532" s="38"/>
      <c r="F532" s="39" t="str">
        <f t="shared" si="45"/>
        <v/>
      </c>
      <c r="G532" s="39" t="str">
        <f t="shared" si="46"/>
        <v/>
      </c>
      <c r="H532" s="39" t="str">
        <f t="shared" si="47"/>
        <v/>
      </c>
    </row>
    <row r="533" spans="1:8" x14ac:dyDescent="0.25">
      <c r="A533" s="35" t="str">
        <f t="shared" si="42"/>
        <v/>
      </c>
      <c r="B533" s="36" t="str">
        <f t="shared" si="43"/>
        <v/>
      </c>
      <c r="C533" s="37" t="str">
        <f t="shared" si="44"/>
        <v/>
      </c>
      <c r="D533" s="38"/>
      <c r="E533" s="38"/>
      <c r="F533" s="39" t="str">
        <f t="shared" si="45"/>
        <v/>
      </c>
      <c r="G533" s="39" t="str">
        <f t="shared" si="46"/>
        <v/>
      </c>
      <c r="H533" s="39" t="str">
        <f t="shared" si="47"/>
        <v/>
      </c>
    </row>
    <row r="534" spans="1:8" x14ac:dyDescent="0.25">
      <c r="A534" s="35" t="str">
        <f t="shared" si="42"/>
        <v/>
      </c>
      <c r="B534" s="36" t="str">
        <f t="shared" si="43"/>
        <v/>
      </c>
      <c r="C534" s="37" t="str">
        <f t="shared" si="44"/>
        <v/>
      </c>
      <c r="D534" s="38"/>
      <c r="E534" s="38"/>
      <c r="F534" s="39" t="str">
        <f t="shared" si="45"/>
        <v/>
      </c>
      <c r="G534" s="39" t="str">
        <f t="shared" si="46"/>
        <v/>
      </c>
      <c r="H534" s="39" t="str">
        <f t="shared" si="47"/>
        <v/>
      </c>
    </row>
    <row r="535" spans="1:8" x14ac:dyDescent="0.25">
      <c r="A535" s="35" t="str">
        <f t="shared" si="42"/>
        <v/>
      </c>
      <c r="B535" s="36" t="str">
        <f t="shared" si="43"/>
        <v/>
      </c>
      <c r="C535" s="37" t="str">
        <f t="shared" si="44"/>
        <v/>
      </c>
      <c r="D535" s="38"/>
      <c r="E535" s="38"/>
      <c r="F535" s="39" t="str">
        <f t="shared" si="45"/>
        <v/>
      </c>
      <c r="G535" s="39" t="str">
        <f t="shared" si="46"/>
        <v/>
      </c>
      <c r="H535" s="39" t="str">
        <f t="shared" si="47"/>
        <v/>
      </c>
    </row>
    <row r="536" spans="1:8" x14ac:dyDescent="0.25">
      <c r="A536" s="35" t="str">
        <f t="shared" si="42"/>
        <v/>
      </c>
      <c r="B536" s="36" t="str">
        <f t="shared" si="43"/>
        <v/>
      </c>
      <c r="C536" s="37" t="str">
        <f t="shared" si="44"/>
        <v/>
      </c>
      <c r="D536" s="38"/>
      <c r="E536" s="38"/>
      <c r="F536" s="39" t="str">
        <f t="shared" si="45"/>
        <v/>
      </c>
      <c r="G536" s="39" t="str">
        <f t="shared" si="46"/>
        <v/>
      </c>
      <c r="H536" s="39" t="str">
        <f t="shared" si="47"/>
        <v/>
      </c>
    </row>
    <row r="537" spans="1:8" x14ac:dyDescent="0.25">
      <c r="A537" s="35" t="str">
        <f t="shared" si="42"/>
        <v/>
      </c>
      <c r="B537" s="36" t="str">
        <f t="shared" si="43"/>
        <v/>
      </c>
      <c r="C537" s="37" t="str">
        <f t="shared" si="44"/>
        <v/>
      </c>
      <c r="D537" s="38"/>
      <c r="E537" s="38"/>
      <c r="F537" s="39" t="str">
        <f t="shared" si="45"/>
        <v/>
      </c>
      <c r="G537" s="39" t="str">
        <f t="shared" si="46"/>
        <v/>
      </c>
      <c r="H537" s="39" t="str">
        <f t="shared" si="47"/>
        <v/>
      </c>
    </row>
    <row r="538" spans="1:8" x14ac:dyDescent="0.25">
      <c r="A538" s="35" t="str">
        <f t="shared" ref="A538:A601" si="48">IF(H537="","",IF(roundOpt,IF(OR(A537&gt;=nPer,ROUND(H537,2)&lt;=0),"",A537+1),IF(OR(A537&gt;=nPer,H537&lt;=0),"",A537+1)))</f>
        <v/>
      </c>
      <c r="B538" s="36" t="str">
        <f t="shared" ref="B538:B601" si="49">IF(A538="","",IF(OR(periods_per_year=26,periods_per_year=52),IF(periods_per_year=26,IF(A538=1,beginDate,B537+14),IF(periods_per_year=52,IF(A538=1,beginDate,B537+7),"n/a")),IF(periods_per_year=24,DATE(YEAR(beginDate),MONTH(beginDate)+(A538-1)/2+IF(AND(DAY(beginDate)&gt;=15,MOD(A538,2)=0),1,0),IF(MOD(A538,2)=0,IF(DAY(beginDate)&gt;=15,DAY(beginDate)-14,DAY(beginDate)+14),DAY(beginDate))),IF(DAY(DATE(YEAR(beginDate),MONTH(beginDate)+(A538-1)*monthsPerPeriod,DAY(beginDate)))&lt;&gt;DAY(beginDate),DATE(YEAR(beginDate),MONTH(beginDate)+(A538-1)*monthsPerPeriod+1,0),DATE(YEAR(beginDate),MONTH(beginDate)+(A538-1)*monthsPerPeriod,DAY(beginDate))))))</f>
        <v/>
      </c>
      <c r="C538" s="37" t="str">
        <f t="shared" ref="C538:C601" si="50">IF(A538="","",IF(roundOpt,IF(OR(A538=nPer,payment&gt;ROUND((1+rate)*H537,2)),ROUND((1+rate)*H537,2),payment),IF(OR(A538=nPer,payment&gt;(1+rate)*H537),(1+rate)*H537,payment)))</f>
        <v/>
      </c>
      <c r="D538" s="38"/>
      <c r="E538" s="38"/>
      <c r="F538" s="39" t="str">
        <f t="shared" ref="F538:F601" si="51">IF(A538="","",IF(AND(A538=1,pmtType=1),0,IF(roundOpt,ROUND(rate*H537,2),rate*H537)))</f>
        <v/>
      </c>
      <c r="G538" s="39" t="str">
        <f t="shared" ref="G538:G601" si="52">IF(A538="","",C538-F538+D538)</f>
        <v/>
      </c>
      <c r="H538" s="39" t="str">
        <f t="shared" ref="H538:H601" si="53">IF(A538="","",H537-G538)</f>
        <v/>
      </c>
    </row>
    <row r="539" spans="1:8" x14ac:dyDescent="0.25">
      <c r="A539" s="35" t="str">
        <f t="shared" si="48"/>
        <v/>
      </c>
      <c r="B539" s="36" t="str">
        <f t="shared" si="49"/>
        <v/>
      </c>
      <c r="C539" s="37" t="str">
        <f t="shared" si="50"/>
        <v/>
      </c>
      <c r="D539" s="38"/>
      <c r="E539" s="38"/>
      <c r="F539" s="39" t="str">
        <f t="shared" si="51"/>
        <v/>
      </c>
      <c r="G539" s="39" t="str">
        <f t="shared" si="52"/>
        <v/>
      </c>
      <c r="H539" s="39" t="str">
        <f t="shared" si="53"/>
        <v/>
      </c>
    </row>
    <row r="540" spans="1:8" x14ac:dyDescent="0.25">
      <c r="A540" s="35" t="str">
        <f t="shared" si="48"/>
        <v/>
      </c>
      <c r="B540" s="36" t="str">
        <f t="shared" si="49"/>
        <v/>
      </c>
      <c r="C540" s="37" t="str">
        <f t="shared" si="50"/>
        <v/>
      </c>
      <c r="D540" s="38"/>
      <c r="E540" s="38"/>
      <c r="F540" s="39" t="str">
        <f t="shared" si="51"/>
        <v/>
      </c>
      <c r="G540" s="39" t="str">
        <f t="shared" si="52"/>
        <v/>
      </c>
      <c r="H540" s="39" t="str">
        <f t="shared" si="53"/>
        <v/>
      </c>
    </row>
    <row r="541" spans="1:8" x14ac:dyDescent="0.25">
      <c r="A541" s="35" t="str">
        <f t="shared" si="48"/>
        <v/>
      </c>
      <c r="B541" s="36" t="str">
        <f t="shared" si="49"/>
        <v/>
      </c>
      <c r="C541" s="37" t="str">
        <f t="shared" si="50"/>
        <v/>
      </c>
      <c r="D541" s="38"/>
      <c r="E541" s="38"/>
      <c r="F541" s="39" t="str">
        <f t="shared" si="51"/>
        <v/>
      </c>
      <c r="G541" s="39" t="str">
        <f t="shared" si="52"/>
        <v/>
      </c>
      <c r="H541" s="39" t="str">
        <f t="shared" si="53"/>
        <v/>
      </c>
    </row>
    <row r="542" spans="1:8" x14ac:dyDescent="0.25">
      <c r="A542" s="35" t="str">
        <f t="shared" si="48"/>
        <v/>
      </c>
      <c r="B542" s="36" t="str">
        <f t="shared" si="49"/>
        <v/>
      </c>
      <c r="C542" s="37" t="str">
        <f t="shared" si="50"/>
        <v/>
      </c>
      <c r="D542" s="38"/>
      <c r="E542" s="38"/>
      <c r="F542" s="39" t="str">
        <f t="shared" si="51"/>
        <v/>
      </c>
      <c r="G542" s="39" t="str">
        <f t="shared" si="52"/>
        <v/>
      </c>
      <c r="H542" s="39" t="str">
        <f t="shared" si="53"/>
        <v/>
      </c>
    </row>
    <row r="543" spans="1:8" x14ac:dyDescent="0.25">
      <c r="A543" s="35" t="str">
        <f t="shared" si="48"/>
        <v/>
      </c>
      <c r="B543" s="36" t="str">
        <f t="shared" si="49"/>
        <v/>
      </c>
      <c r="C543" s="37" t="str">
        <f t="shared" si="50"/>
        <v/>
      </c>
      <c r="D543" s="38"/>
      <c r="E543" s="38"/>
      <c r="F543" s="39" t="str">
        <f t="shared" si="51"/>
        <v/>
      </c>
      <c r="G543" s="39" t="str">
        <f t="shared" si="52"/>
        <v/>
      </c>
      <c r="H543" s="39" t="str">
        <f t="shared" si="53"/>
        <v/>
      </c>
    </row>
    <row r="544" spans="1:8" x14ac:dyDescent="0.25">
      <c r="A544" s="35" t="str">
        <f t="shared" si="48"/>
        <v/>
      </c>
      <c r="B544" s="36" t="str">
        <f t="shared" si="49"/>
        <v/>
      </c>
      <c r="C544" s="37" t="str">
        <f t="shared" si="50"/>
        <v/>
      </c>
      <c r="D544" s="38"/>
      <c r="E544" s="38"/>
      <c r="F544" s="39" t="str">
        <f t="shared" si="51"/>
        <v/>
      </c>
      <c r="G544" s="39" t="str">
        <f t="shared" si="52"/>
        <v/>
      </c>
      <c r="H544" s="39" t="str">
        <f t="shared" si="53"/>
        <v/>
      </c>
    </row>
    <row r="545" spans="1:8" x14ac:dyDescent="0.25">
      <c r="A545" s="35" t="str">
        <f t="shared" si="48"/>
        <v/>
      </c>
      <c r="B545" s="36" t="str">
        <f t="shared" si="49"/>
        <v/>
      </c>
      <c r="C545" s="37" t="str">
        <f t="shared" si="50"/>
        <v/>
      </c>
      <c r="D545" s="38"/>
      <c r="E545" s="38"/>
      <c r="F545" s="39" t="str">
        <f t="shared" si="51"/>
        <v/>
      </c>
      <c r="G545" s="39" t="str">
        <f t="shared" si="52"/>
        <v/>
      </c>
      <c r="H545" s="39" t="str">
        <f t="shared" si="53"/>
        <v/>
      </c>
    </row>
    <row r="546" spans="1:8" x14ac:dyDescent="0.25">
      <c r="A546" s="35" t="str">
        <f t="shared" si="48"/>
        <v/>
      </c>
      <c r="B546" s="36" t="str">
        <f t="shared" si="49"/>
        <v/>
      </c>
      <c r="C546" s="37" t="str">
        <f t="shared" si="50"/>
        <v/>
      </c>
      <c r="D546" s="38"/>
      <c r="E546" s="38"/>
      <c r="F546" s="39" t="str">
        <f t="shared" si="51"/>
        <v/>
      </c>
      <c r="G546" s="39" t="str">
        <f t="shared" si="52"/>
        <v/>
      </c>
      <c r="H546" s="39" t="str">
        <f t="shared" si="53"/>
        <v/>
      </c>
    </row>
    <row r="547" spans="1:8" x14ac:dyDescent="0.25">
      <c r="A547" s="35" t="str">
        <f t="shared" si="48"/>
        <v/>
      </c>
      <c r="B547" s="36" t="str">
        <f t="shared" si="49"/>
        <v/>
      </c>
      <c r="C547" s="37" t="str">
        <f t="shared" si="50"/>
        <v/>
      </c>
      <c r="D547" s="38"/>
      <c r="E547" s="38"/>
      <c r="F547" s="39" t="str">
        <f t="shared" si="51"/>
        <v/>
      </c>
      <c r="G547" s="39" t="str">
        <f t="shared" si="52"/>
        <v/>
      </c>
      <c r="H547" s="39" t="str">
        <f t="shared" si="53"/>
        <v/>
      </c>
    </row>
    <row r="548" spans="1:8" x14ac:dyDescent="0.25">
      <c r="A548" s="35" t="str">
        <f t="shared" si="48"/>
        <v/>
      </c>
      <c r="B548" s="36" t="str">
        <f t="shared" si="49"/>
        <v/>
      </c>
      <c r="C548" s="37" t="str">
        <f t="shared" si="50"/>
        <v/>
      </c>
      <c r="D548" s="38"/>
      <c r="E548" s="38"/>
      <c r="F548" s="39" t="str">
        <f t="shared" si="51"/>
        <v/>
      </c>
      <c r="G548" s="39" t="str">
        <f t="shared" si="52"/>
        <v/>
      </c>
      <c r="H548" s="39" t="str">
        <f t="shared" si="53"/>
        <v/>
      </c>
    </row>
    <row r="549" spans="1:8" x14ac:dyDescent="0.25">
      <c r="A549" s="35" t="str">
        <f t="shared" si="48"/>
        <v/>
      </c>
      <c r="B549" s="36" t="str">
        <f t="shared" si="49"/>
        <v/>
      </c>
      <c r="C549" s="37" t="str">
        <f t="shared" si="50"/>
        <v/>
      </c>
      <c r="D549" s="38"/>
      <c r="E549" s="38"/>
      <c r="F549" s="39" t="str">
        <f t="shared" si="51"/>
        <v/>
      </c>
      <c r="G549" s="39" t="str">
        <f t="shared" si="52"/>
        <v/>
      </c>
      <c r="H549" s="39" t="str">
        <f t="shared" si="53"/>
        <v/>
      </c>
    </row>
    <row r="550" spans="1:8" x14ac:dyDescent="0.25">
      <c r="A550" s="35" t="str">
        <f t="shared" si="48"/>
        <v/>
      </c>
      <c r="B550" s="36" t="str">
        <f t="shared" si="49"/>
        <v/>
      </c>
      <c r="C550" s="37" t="str">
        <f t="shared" si="50"/>
        <v/>
      </c>
      <c r="D550" s="38"/>
      <c r="E550" s="38"/>
      <c r="F550" s="39" t="str">
        <f t="shared" si="51"/>
        <v/>
      </c>
      <c r="G550" s="39" t="str">
        <f t="shared" si="52"/>
        <v/>
      </c>
      <c r="H550" s="39" t="str">
        <f t="shared" si="53"/>
        <v/>
      </c>
    </row>
    <row r="551" spans="1:8" x14ac:dyDescent="0.25">
      <c r="A551" s="35" t="str">
        <f t="shared" si="48"/>
        <v/>
      </c>
      <c r="B551" s="36" t="str">
        <f t="shared" si="49"/>
        <v/>
      </c>
      <c r="C551" s="37" t="str">
        <f t="shared" si="50"/>
        <v/>
      </c>
      <c r="D551" s="38"/>
      <c r="E551" s="38"/>
      <c r="F551" s="39" t="str">
        <f t="shared" si="51"/>
        <v/>
      </c>
      <c r="G551" s="39" t="str">
        <f t="shared" si="52"/>
        <v/>
      </c>
      <c r="H551" s="39" t="str">
        <f t="shared" si="53"/>
        <v/>
      </c>
    </row>
    <row r="552" spans="1:8" x14ac:dyDescent="0.25">
      <c r="A552" s="35" t="str">
        <f t="shared" si="48"/>
        <v/>
      </c>
      <c r="B552" s="36" t="str">
        <f t="shared" si="49"/>
        <v/>
      </c>
      <c r="C552" s="37" t="str">
        <f t="shared" si="50"/>
        <v/>
      </c>
      <c r="D552" s="38"/>
      <c r="E552" s="38"/>
      <c r="F552" s="39" t="str">
        <f t="shared" si="51"/>
        <v/>
      </c>
      <c r="G552" s="39" t="str">
        <f t="shared" si="52"/>
        <v/>
      </c>
      <c r="H552" s="39" t="str">
        <f t="shared" si="53"/>
        <v/>
      </c>
    </row>
    <row r="553" spans="1:8" x14ac:dyDescent="0.25">
      <c r="A553" s="35" t="str">
        <f t="shared" si="48"/>
        <v/>
      </c>
      <c r="B553" s="36" t="str">
        <f t="shared" si="49"/>
        <v/>
      </c>
      <c r="C553" s="37" t="str">
        <f t="shared" si="50"/>
        <v/>
      </c>
      <c r="D553" s="38"/>
      <c r="E553" s="38"/>
      <c r="F553" s="39" t="str">
        <f t="shared" si="51"/>
        <v/>
      </c>
      <c r="G553" s="39" t="str">
        <f t="shared" si="52"/>
        <v/>
      </c>
      <c r="H553" s="39" t="str">
        <f t="shared" si="53"/>
        <v/>
      </c>
    </row>
    <row r="554" spans="1:8" x14ac:dyDescent="0.25">
      <c r="A554" s="35" t="str">
        <f t="shared" si="48"/>
        <v/>
      </c>
      <c r="B554" s="36" t="str">
        <f t="shared" si="49"/>
        <v/>
      </c>
      <c r="C554" s="37" t="str">
        <f t="shared" si="50"/>
        <v/>
      </c>
      <c r="D554" s="38"/>
      <c r="E554" s="38"/>
      <c r="F554" s="39" t="str">
        <f t="shared" si="51"/>
        <v/>
      </c>
      <c r="G554" s="39" t="str">
        <f t="shared" si="52"/>
        <v/>
      </c>
      <c r="H554" s="39" t="str">
        <f t="shared" si="53"/>
        <v/>
      </c>
    </row>
    <row r="555" spans="1:8" x14ac:dyDescent="0.25">
      <c r="A555" s="35" t="str">
        <f t="shared" si="48"/>
        <v/>
      </c>
      <c r="B555" s="36" t="str">
        <f t="shared" si="49"/>
        <v/>
      </c>
      <c r="C555" s="37" t="str">
        <f t="shared" si="50"/>
        <v/>
      </c>
      <c r="D555" s="38"/>
      <c r="E555" s="38"/>
      <c r="F555" s="39" t="str">
        <f t="shared" si="51"/>
        <v/>
      </c>
      <c r="G555" s="39" t="str">
        <f t="shared" si="52"/>
        <v/>
      </c>
      <c r="H555" s="39" t="str">
        <f t="shared" si="53"/>
        <v/>
      </c>
    </row>
    <row r="556" spans="1:8" x14ac:dyDescent="0.25">
      <c r="A556" s="35" t="str">
        <f t="shared" si="48"/>
        <v/>
      </c>
      <c r="B556" s="36" t="str">
        <f t="shared" si="49"/>
        <v/>
      </c>
      <c r="C556" s="37" t="str">
        <f t="shared" si="50"/>
        <v/>
      </c>
      <c r="D556" s="38"/>
      <c r="E556" s="38"/>
      <c r="F556" s="39" t="str">
        <f t="shared" si="51"/>
        <v/>
      </c>
      <c r="G556" s="39" t="str">
        <f t="shared" si="52"/>
        <v/>
      </c>
      <c r="H556" s="39" t="str">
        <f t="shared" si="53"/>
        <v/>
      </c>
    </row>
    <row r="557" spans="1:8" x14ac:dyDescent="0.25">
      <c r="A557" s="35" t="str">
        <f t="shared" si="48"/>
        <v/>
      </c>
      <c r="B557" s="36" t="str">
        <f t="shared" si="49"/>
        <v/>
      </c>
      <c r="C557" s="37" t="str">
        <f t="shared" si="50"/>
        <v/>
      </c>
      <c r="D557" s="38"/>
      <c r="E557" s="38"/>
      <c r="F557" s="39" t="str">
        <f t="shared" si="51"/>
        <v/>
      </c>
      <c r="G557" s="39" t="str">
        <f t="shared" si="52"/>
        <v/>
      </c>
      <c r="H557" s="39" t="str">
        <f t="shared" si="53"/>
        <v/>
      </c>
    </row>
    <row r="558" spans="1:8" x14ac:dyDescent="0.25">
      <c r="A558" s="35" t="str">
        <f t="shared" si="48"/>
        <v/>
      </c>
      <c r="B558" s="36" t="str">
        <f t="shared" si="49"/>
        <v/>
      </c>
      <c r="C558" s="37" t="str">
        <f t="shared" si="50"/>
        <v/>
      </c>
      <c r="D558" s="38"/>
      <c r="E558" s="38"/>
      <c r="F558" s="39" t="str">
        <f t="shared" si="51"/>
        <v/>
      </c>
      <c r="G558" s="39" t="str">
        <f t="shared" si="52"/>
        <v/>
      </c>
      <c r="H558" s="39" t="str">
        <f t="shared" si="53"/>
        <v/>
      </c>
    </row>
    <row r="559" spans="1:8" x14ac:dyDescent="0.25">
      <c r="A559" s="35" t="str">
        <f t="shared" si="48"/>
        <v/>
      </c>
      <c r="B559" s="36" t="str">
        <f t="shared" si="49"/>
        <v/>
      </c>
      <c r="C559" s="37" t="str">
        <f t="shared" si="50"/>
        <v/>
      </c>
      <c r="D559" s="38"/>
      <c r="E559" s="38"/>
      <c r="F559" s="39" t="str">
        <f t="shared" si="51"/>
        <v/>
      </c>
      <c r="G559" s="39" t="str">
        <f t="shared" si="52"/>
        <v/>
      </c>
      <c r="H559" s="39" t="str">
        <f t="shared" si="53"/>
        <v/>
      </c>
    </row>
    <row r="560" spans="1:8" x14ac:dyDescent="0.25">
      <c r="A560" s="35" t="str">
        <f t="shared" si="48"/>
        <v/>
      </c>
      <c r="B560" s="36" t="str">
        <f t="shared" si="49"/>
        <v/>
      </c>
      <c r="C560" s="37" t="str">
        <f t="shared" si="50"/>
        <v/>
      </c>
      <c r="D560" s="38"/>
      <c r="E560" s="38"/>
      <c r="F560" s="39" t="str">
        <f t="shared" si="51"/>
        <v/>
      </c>
      <c r="G560" s="39" t="str">
        <f t="shared" si="52"/>
        <v/>
      </c>
      <c r="H560" s="39" t="str">
        <f t="shared" si="53"/>
        <v/>
      </c>
    </row>
    <row r="561" spans="1:8" x14ac:dyDescent="0.25">
      <c r="A561" s="35" t="str">
        <f t="shared" si="48"/>
        <v/>
      </c>
      <c r="B561" s="36" t="str">
        <f t="shared" si="49"/>
        <v/>
      </c>
      <c r="C561" s="37" t="str">
        <f t="shared" si="50"/>
        <v/>
      </c>
      <c r="D561" s="38"/>
      <c r="E561" s="38"/>
      <c r="F561" s="39" t="str">
        <f t="shared" si="51"/>
        <v/>
      </c>
      <c r="G561" s="39" t="str">
        <f t="shared" si="52"/>
        <v/>
      </c>
      <c r="H561" s="39" t="str">
        <f t="shared" si="53"/>
        <v/>
      </c>
    </row>
    <row r="562" spans="1:8" x14ac:dyDescent="0.25">
      <c r="A562" s="35" t="str">
        <f t="shared" si="48"/>
        <v/>
      </c>
      <c r="B562" s="36" t="str">
        <f t="shared" si="49"/>
        <v/>
      </c>
      <c r="C562" s="37" t="str">
        <f t="shared" si="50"/>
        <v/>
      </c>
      <c r="D562" s="38"/>
      <c r="E562" s="38"/>
      <c r="F562" s="39" t="str">
        <f t="shared" si="51"/>
        <v/>
      </c>
      <c r="G562" s="39" t="str">
        <f t="shared" si="52"/>
        <v/>
      </c>
      <c r="H562" s="39" t="str">
        <f t="shared" si="53"/>
        <v/>
      </c>
    </row>
    <row r="563" spans="1:8" x14ac:dyDescent="0.25">
      <c r="A563" s="35" t="str">
        <f t="shared" si="48"/>
        <v/>
      </c>
      <c r="B563" s="36" t="str">
        <f t="shared" si="49"/>
        <v/>
      </c>
      <c r="C563" s="37" t="str">
        <f t="shared" si="50"/>
        <v/>
      </c>
      <c r="D563" s="38"/>
      <c r="E563" s="38"/>
      <c r="F563" s="39" t="str">
        <f t="shared" si="51"/>
        <v/>
      </c>
      <c r="G563" s="39" t="str">
        <f t="shared" si="52"/>
        <v/>
      </c>
      <c r="H563" s="39" t="str">
        <f t="shared" si="53"/>
        <v/>
      </c>
    </row>
    <row r="564" spans="1:8" x14ac:dyDescent="0.25">
      <c r="A564" s="35" t="str">
        <f t="shared" si="48"/>
        <v/>
      </c>
      <c r="B564" s="36" t="str">
        <f t="shared" si="49"/>
        <v/>
      </c>
      <c r="C564" s="37" t="str">
        <f t="shared" si="50"/>
        <v/>
      </c>
      <c r="D564" s="38"/>
      <c r="E564" s="38"/>
      <c r="F564" s="39" t="str">
        <f t="shared" si="51"/>
        <v/>
      </c>
      <c r="G564" s="39" t="str">
        <f t="shared" si="52"/>
        <v/>
      </c>
      <c r="H564" s="39" t="str">
        <f t="shared" si="53"/>
        <v/>
      </c>
    </row>
    <row r="565" spans="1:8" x14ac:dyDescent="0.25">
      <c r="A565" s="35" t="str">
        <f t="shared" si="48"/>
        <v/>
      </c>
      <c r="B565" s="36" t="str">
        <f t="shared" si="49"/>
        <v/>
      </c>
      <c r="C565" s="37" t="str">
        <f t="shared" si="50"/>
        <v/>
      </c>
      <c r="D565" s="38"/>
      <c r="E565" s="38"/>
      <c r="F565" s="39" t="str">
        <f t="shared" si="51"/>
        <v/>
      </c>
      <c r="G565" s="39" t="str">
        <f t="shared" si="52"/>
        <v/>
      </c>
      <c r="H565" s="39" t="str">
        <f t="shared" si="53"/>
        <v/>
      </c>
    </row>
    <row r="566" spans="1:8" x14ac:dyDescent="0.25">
      <c r="A566" s="35" t="str">
        <f t="shared" si="48"/>
        <v/>
      </c>
      <c r="B566" s="36" t="str">
        <f t="shared" si="49"/>
        <v/>
      </c>
      <c r="C566" s="37" t="str">
        <f t="shared" si="50"/>
        <v/>
      </c>
      <c r="D566" s="38"/>
      <c r="E566" s="38"/>
      <c r="F566" s="39" t="str">
        <f t="shared" si="51"/>
        <v/>
      </c>
      <c r="G566" s="39" t="str">
        <f t="shared" si="52"/>
        <v/>
      </c>
      <c r="H566" s="39" t="str">
        <f t="shared" si="53"/>
        <v/>
      </c>
    </row>
    <row r="567" spans="1:8" x14ac:dyDescent="0.25">
      <c r="A567" s="35" t="str">
        <f t="shared" si="48"/>
        <v/>
      </c>
      <c r="B567" s="36" t="str">
        <f t="shared" si="49"/>
        <v/>
      </c>
      <c r="C567" s="37" t="str">
        <f t="shared" si="50"/>
        <v/>
      </c>
      <c r="D567" s="38"/>
      <c r="E567" s="38"/>
      <c r="F567" s="39" t="str">
        <f t="shared" si="51"/>
        <v/>
      </c>
      <c r="G567" s="39" t="str">
        <f t="shared" si="52"/>
        <v/>
      </c>
      <c r="H567" s="39" t="str">
        <f t="shared" si="53"/>
        <v/>
      </c>
    </row>
    <row r="568" spans="1:8" x14ac:dyDescent="0.25">
      <c r="A568" s="35" t="str">
        <f t="shared" si="48"/>
        <v/>
      </c>
      <c r="B568" s="36" t="str">
        <f t="shared" si="49"/>
        <v/>
      </c>
      <c r="C568" s="37" t="str">
        <f t="shared" si="50"/>
        <v/>
      </c>
      <c r="D568" s="38"/>
      <c r="E568" s="38"/>
      <c r="F568" s="39" t="str">
        <f t="shared" si="51"/>
        <v/>
      </c>
      <c r="G568" s="39" t="str">
        <f t="shared" si="52"/>
        <v/>
      </c>
      <c r="H568" s="39" t="str">
        <f t="shared" si="53"/>
        <v/>
      </c>
    </row>
    <row r="569" spans="1:8" x14ac:dyDescent="0.25">
      <c r="A569" s="35" t="str">
        <f t="shared" si="48"/>
        <v/>
      </c>
      <c r="B569" s="36" t="str">
        <f t="shared" si="49"/>
        <v/>
      </c>
      <c r="C569" s="37" t="str">
        <f t="shared" si="50"/>
        <v/>
      </c>
      <c r="D569" s="38"/>
      <c r="E569" s="38"/>
      <c r="F569" s="39" t="str">
        <f t="shared" si="51"/>
        <v/>
      </c>
      <c r="G569" s="39" t="str">
        <f t="shared" si="52"/>
        <v/>
      </c>
      <c r="H569" s="39" t="str">
        <f t="shared" si="53"/>
        <v/>
      </c>
    </row>
    <row r="570" spans="1:8" x14ac:dyDescent="0.25">
      <c r="A570" s="35" t="str">
        <f t="shared" si="48"/>
        <v/>
      </c>
      <c r="B570" s="36" t="str">
        <f t="shared" si="49"/>
        <v/>
      </c>
      <c r="C570" s="37" t="str">
        <f t="shared" si="50"/>
        <v/>
      </c>
      <c r="D570" s="38"/>
      <c r="E570" s="38"/>
      <c r="F570" s="39" t="str">
        <f t="shared" si="51"/>
        <v/>
      </c>
      <c r="G570" s="39" t="str">
        <f t="shared" si="52"/>
        <v/>
      </c>
      <c r="H570" s="39" t="str">
        <f t="shared" si="53"/>
        <v/>
      </c>
    </row>
    <row r="571" spans="1:8" x14ac:dyDescent="0.25">
      <c r="A571" s="35" t="str">
        <f t="shared" si="48"/>
        <v/>
      </c>
      <c r="B571" s="36" t="str">
        <f t="shared" si="49"/>
        <v/>
      </c>
      <c r="C571" s="37" t="str">
        <f t="shared" si="50"/>
        <v/>
      </c>
      <c r="D571" s="38"/>
      <c r="E571" s="38"/>
      <c r="F571" s="39" t="str">
        <f t="shared" si="51"/>
        <v/>
      </c>
      <c r="G571" s="39" t="str">
        <f t="shared" si="52"/>
        <v/>
      </c>
      <c r="H571" s="39" t="str">
        <f t="shared" si="53"/>
        <v/>
      </c>
    </row>
    <row r="572" spans="1:8" x14ac:dyDescent="0.25">
      <c r="A572" s="35" t="str">
        <f t="shared" si="48"/>
        <v/>
      </c>
      <c r="B572" s="36" t="str">
        <f t="shared" si="49"/>
        <v/>
      </c>
      <c r="C572" s="37" t="str">
        <f t="shared" si="50"/>
        <v/>
      </c>
      <c r="D572" s="38"/>
      <c r="E572" s="38"/>
      <c r="F572" s="39" t="str">
        <f t="shared" si="51"/>
        <v/>
      </c>
      <c r="G572" s="39" t="str">
        <f t="shared" si="52"/>
        <v/>
      </c>
      <c r="H572" s="39" t="str">
        <f t="shared" si="53"/>
        <v/>
      </c>
    </row>
    <row r="573" spans="1:8" x14ac:dyDescent="0.25">
      <c r="A573" s="35" t="str">
        <f t="shared" si="48"/>
        <v/>
      </c>
      <c r="B573" s="36" t="str">
        <f t="shared" si="49"/>
        <v/>
      </c>
      <c r="C573" s="37" t="str">
        <f t="shared" si="50"/>
        <v/>
      </c>
      <c r="D573" s="38"/>
      <c r="E573" s="38"/>
      <c r="F573" s="39" t="str">
        <f t="shared" si="51"/>
        <v/>
      </c>
      <c r="G573" s="39" t="str">
        <f t="shared" si="52"/>
        <v/>
      </c>
      <c r="H573" s="39" t="str">
        <f t="shared" si="53"/>
        <v/>
      </c>
    </row>
    <row r="574" spans="1:8" x14ac:dyDescent="0.25">
      <c r="A574" s="35" t="str">
        <f t="shared" si="48"/>
        <v/>
      </c>
      <c r="B574" s="36" t="str">
        <f t="shared" si="49"/>
        <v/>
      </c>
      <c r="C574" s="37" t="str">
        <f t="shared" si="50"/>
        <v/>
      </c>
      <c r="D574" s="38"/>
      <c r="E574" s="38"/>
      <c r="F574" s="39" t="str">
        <f t="shared" si="51"/>
        <v/>
      </c>
      <c r="G574" s="39" t="str">
        <f t="shared" si="52"/>
        <v/>
      </c>
      <c r="H574" s="39" t="str">
        <f t="shared" si="53"/>
        <v/>
      </c>
    </row>
    <row r="575" spans="1:8" x14ac:dyDescent="0.25">
      <c r="A575" s="35" t="str">
        <f t="shared" si="48"/>
        <v/>
      </c>
      <c r="B575" s="36" t="str">
        <f t="shared" si="49"/>
        <v/>
      </c>
      <c r="C575" s="37" t="str">
        <f t="shared" si="50"/>
        <v/>
      </c>
      <c r="D575" s="38"/>
      <c r="E575" s="38"/>
      <c r="F575" s="39" t="str">
        <f t="shared" si="51"/>
        <v/>
      </c>
      <c r="G575" s="39" t="str">
        <f t="shared" si="52"/>
        <v/>
      </c>
      <c r="H575" s="39" t="str">
        <f t="shared" si="53"/>
        <v/>
      </c>
    </row>
    <row r="576" spans="1:8" x14ac:dyDescent="0.25">
      <c r="A576" s="35" t="str">
        <f t="shared" si="48"/>
        <v/>
      </c>
      <c r="B576" s="36" t="str">
        <f t="shared" si="49"/>
        <v/>
      </c>
      <c r="C576" s="37" t="str">
        <f t="shared" si="50"/>
        <v/>
      </c>
      <c r="D576" s="38"/>
      <c r="E576" s="38"/>
      <c r="F576" s="39" t="str">
        <f t="shared" si="51"/>
        <v/>
      </c>
      <c r="G576" s="39" t="str">
        <f t="shared" si="52"/>
        <v/>
      </c>
      <c r="H576" s="39" t="str">
        <f t="shared" si="53"/>
        <v/>
      </c>
    </row>
    <row r="577" spans="1:8" x14ac:dyDescent="0.25">
      <c r="A577" s="35" t="str">
        <f t="shared" si="48"/>
        <v/>
      </c>
      <c r="B577" s="36" t="str">
        <f t="shared" si="49"/>
        <v/>
      </c>
      <c r="C577" s="37" t="str">
        <f t="shared" si="50"/>
        <v/>
      </c>
      <c r="D577" s="38"/>
      <c r="E577" s="38"/>
      <c r="F577" s="39" t="str">
        <f t="shared" si="51"/>
        <v/>
      </c>
      <c r="G577" s="39" t="str">
        <f t="shared" si="52"/>
        <v/>
      </c>
      <c r="H577" s="39" t="str">
        <f t="shared" si="53"/>
        <v/>
      </c>
    </row>
    <row r="578" spans="1:8" x14ac:dyDescent="0.25">
      <c r="A578" s="35" t="str">
        <f t="shared" si="48"/>
        <v/>
      </c>
      <c r="B578" s="36" t="str">
        <f t="shared" si="49"/>
        <v/>
      </c>
      <c r="C578" s="37" t="str">
        <f t="shared" si="50"/>
        <v/>
      </c>
      <c r="D578" s="38"/>
      <c r="E578" s="38"/>
      <c r="F578" s="39" t="str">
        <f t="shared" si="51"/>
        <v/>
      </c>
      <c r="G578" s="39" t="str">
        <f t="shared" si="52"/>
        <v/>
      </c>
      <c r="H578" s="39" t="str">
        <f t="shared" si="53"/>
        <v/>
      </c>
    </row>
    <row r="579" spans="1:8" x14ac:dyDescent="0.25">
      <c r="A579" s="35" t="str">
        <f t="shared" si="48"/>
        <v/>
      </c>
      <c r="B579" s="36" t="str">
        <f t="shared" si="49"/>
        <v/>
      </c>
      <c r="C579" s="37" t="str">
        <f t="shared" si="50"/>
        <v/>
      </c>
      <c r="D579" s="38"/>
      <c r="E579" s="38"/>
      <c r="F579" s="39" t="str">
        <f t="shared" si="51"/>
        <v/>
      </c>
      <c r="G579" s="39" t="str">
        <f t="shared" si="52"/>
        <v/>
      </c>
      <c r="H579" s="39" t="str">
        <f t="shared" si="53"/>
        <v/>
      </c>
    </row>
    <row r="580" spans="1:8" x14ac:dyDescent="0.25">
      <c r="A580" s="35" t="str">
        <f t="shared" si="48"/>
        <v/>
      </c>
      <c r="B580" s="36" t="str">
        <f t="shared" si="49"/>
        <v/>
      </c>
      <c r="C580" s="37" t="str">
        <f t="shared" si="50"/>
        <v/>
      </c>
      <c r="D580" s="38"/>
      <c r="E580" s="38"/>
      <c r="F580" s="39" t="str">
        <f t="shared" si="51"/>
        <v/>
      </c>
      <c r="G580" s="39" t="str">
        <f t="shared" si="52"/>
        <v/>
      </c>
      <c r="H580" s="39" t="str">
        <f t="shared" si="53"/>
        <v/>
      </c>
    </row>
    <row r="581" spans="1:8" x14ac:dyDescent="0.25">
      <c r="A581" s="35" t="str">
        <f t="shared" si="48"/>
        <v/>
      </c>
      <c r="B581" s="36" t="str">
        <f t="shared" si="49"/>
        <v/>
      </c>
      <c r="C581" s="37" t="str">
        <f t="shared" si="50"/>
        <v/>
      </c>
      <c r="D581" s="38"/>
      <c r="E581" s="38"/>
      <c r="F581" s="39" t="str">
        <f t="shared" si="51"/>
        <v/>
      </c>
      <c r="G581" s="39" t="str">
        <f t="shared" si="52"/>
        <v/>
      </c>
      <c r="H581" s="39" t="str">
        <f t="shared" si="53"/>
        <v/>
      </c>
    </row>
    <row r="582" spans="1:8" x14ac:dyDescent="0.25">
      <c r="A582" s="35" t="str">
        <f t="shared" si="48"/>
        <v/>
      </c>
      <c r="B582" s="36" t="str">
        <f t="shared" si="49"/>
        <v/>
      </c>
      <c r="C582" s="37" t="str">
        <f t="shared" si="50"/>
        <v/>
      </c>
      <c r="D582" s="38"/>
      <c r="E582" s="38"/>
      <c r="F582" s="39" t="str">
        <f t="shared" si="51"/>
        <v/>
      </c>
      <c r="G582" s="39" t="str">
        <f t="shared" si="52"/>
        <v/>
      </c>
      <c r="H582" s="39" t="str">
        <f t="shared" si="53"/>
        <v/>
      </c>
    </row>
    <row r="583" spans="1:8" x14ac:dyDescent="0.25">
      <c r="A583" s="35" t="str">
        <f t="shared" si="48"/>
        <v/>
      </c>
      <c r="B583" s="36" t="str">
        <f t="shared" si="49"/>
        <v/>
      </c>
      <c r="C583" s="37" t="str">
        <f t="shared" si="50"/>
        <v/>
      </c>
      <c r="D583" s="38"/>
      <c r="E583" s="38"/>
      <c r="F583" s="39" t="str">
        <f t="shared" si="51"/>
        <v/>
      </c>
      <c r="G583" s="39" t="str">
        <f t="shared" si="52"/>
        <v/>
      </c>
      <c r="H583" s="39" t="str">
        <f t="shared" si="53"/>
        <v/>
      </c>
    </row>
    <row r="584" spans="1:8" x14ac:dyDescent="0.25">
      <c r="A584" s="35" t="str">
        <f t="shared" si="48"/>
        <v/>
      </c>
      <c r="B584" s="36" t="str">
        <f t="shared" si="49"/>
        <v/>
      </c>
      <c r="C584" s="37" t="str">
        <f t="shared" si="50"/>
        <v/>
      </c>
      <c r="D584" s="38"/>
      <c r="E584" s="38"/>
      <c r="F584" s="39" t="str">
        <f t="shared" si="51"/>
        <v/>
      </c>
      <c r="G584" s="39" t="str">
        <f t="shared" si="52"/>
        <v/>
      </c>
      <c r="H584" s="39" t="str">
        <f t="shared" si="53"/>
        <v/>
      </c>
    </row>
    <row r="585" spans="1:8" x14ac:dyDescent="0.25">
      <c r="A585" s="35" t="str">
        <f t="shared" si="48"/>
        <v/>
      </c>
      <c r="B585" s="36" t="str">
        <f t="shared" si="49"/>
        <v/>
      </c>
      <c r="C585" s="37" t="str">
        <f t="shared" si="50"/>
        <v/>
      </c>
      <c r="D585" s="38"/>
      <c r="E585" s="38"/>
      <c r="F585" s="39" t="str">
        <f t="shared" si="51"/>
        <v/>
      </c>
      <c r="G585" s="39" t="str">
        <f t="shared" si="52"/>
        <v/>
      </c>
      <c r="H585" s="39" t="str">
        <f t="shared" si="53"/>
        <v/>
      </c>
    </row>
    <row r="586" spans="1:8" x14ac:dyDescent="0.25">
      <c r="A586" s="35" t="str">
        <f t="shared" si="48"/>
        <v/>
      </c>
      <c r="B586" s="36" t="str">
        <f t="shared" si="49"/>
        <v/>
      </c>
      <c r="C586" s="37" t="str">
        <f t="shared" si="50"/>
        <v/>
      </c>
      <c r="D586" s="38"/>
      <c r="E586" s="38"/>
      <c r="F586" s="39" t="str">
        <f t="shared" si="51"/>
        <v/>
      </c>
      <c r="G586" s="39" t="str">
        <f t="shared" si="52"/>
        <v/>
      </c>
      <c r="H586" s="39" t="str">
        <f t="shared" si="53"/>
        <v/>
      </c>
    </row>
    <row r="587" spans="1:8" x14ac:dyDescent="0.25">
      <c r="A587" s="35" t="str">
        <f t="shared" si="48"/>
        <v/>
      </c>
      <c r="B587" s="36" t="str">
        <f t="shared" si="49"/>
        <v/>
      </c>
      <c r="C587" s="37" t="str">
        <f t="shared" si="50"/>
        <v/>
      </c>
      <c r="D587" s="38"/>
      <c r="E587" s="38"/>
      <c r="F587" s="39" t="str">
        <f t="shared" si="51"/>
        <v/>
      </c>
      <c r="G587" s="39" t="str">
        <f t="shared" si="52"/>
        <v/>
      </c>
      <c r="H587" s="39" t="str">
        <f t="shared" si="53"/>
        <v/>
      </c>
    </row>
    <row r="588" spans="1:8" x14ac:dyDescent="0.25">
      <c r="A588" s="35" t="str">
        <f t="shared" si="48"/>
        <v/>
      </c>
      <c r="B588" s="36" t="str">
        <f t="shared" si="49"/>
        <v/>
      </c>
      <c r="C588" s="37" t="str">
        <f t="shared" si="50"/>
        <v/>
      </c>
      <c r="D588" s="38"/>
      <c r="E588" s="38"/>
      <c r="F588" s="39" t="str">
        <f t="shared" si="51"/>
        <v/>
      </c>
      <c r="G588" s="39" t="str">
        <f t="shared" si="52"/>
        <v/>
      </c>
      <c r="H588" s="39" t="str">
        <f t="shared" si="53"/>
        <v/>
      </c>
    </row>
    <row r="589" spans="1:8" x14ac:dyDescent="0.25">
      <c r="A589" s="35" t="str">
        <f t="shared" si="48"/>
        <v/>
      </c>
      <c r="B589" s="36" t="str">
        <f t="shared" si="49"/>
        <v/>
      </c>
      <c r="C589" s="37" t="str">
        <f t="shared" si="50"/>
        <v/>
      </c>
      <c r="D589" s="38"/>
      <c r="E589" s="38"/>
      <c r="F589" s="39" t="str">
        <f t="shared" si="51"/>
        <v/>
      </c>
      <c r="G589" s="39" t="str">
        <f t="shared" si="52"/>
        <v/>
      </c>
      <c r="H589" s="39" t="str">
        <f t="shared" si="53"/>
        <v/>
      </c>
    </row>
    <row r="590" spans="1:8" x14ac:dyDescent="0.25">
      <c r="A590" s="35" t="str">
        <f t="shared" si="48"/>
        <v/>
      </c>
      <c r="B590" s="36" t="str">
        <f t="shared" si="49"/>
        <v/>
      </c>
      <c r="C590" s="37" t="str">
        <f t="shared" si="50"/>
        <v/>
      </c>
      <c r="D590" s="38"/>
      <c r="E590" s="38"/>
      <c r="F590" s="39" t="str">
        <f t="shared" si="51"/>
        <v/>
      </c>
      <c r="G590" s="39" t="str">
        <f t="shared" si="52"/>
        <v/>
      </c>
      <c r="H590" s="39" t="str">
        <f t="shared" si="53"/>
        <v/>
      </c>
    </row>
    <row r="591" spans="1:8" x14ac:dyDescent="0.25">
      <c r="A591" s="35" t="str">
        <f t="shared" si="48"/>
        <v/>
      </c>
      <c r="B591" s="36" t="str">
        <f t="shared" si="49"/>
        <v/>
      </c>
      <c r="C591" s="37" t="str">
        <f t="shared" si="50"/>
        <v/>
      </c>
      <c r="D591" s="38"/>
      <c r="E591" s="38"/>
      <c r="F591" s="39" t="str">
        <f t="shared" si="51"/>
        <v/>
      </c>
      <c r="G591" s="39" t="str">
        <f t="shared" si="52"/>
        <v/>
      </c>
      <c r="H591" s="39" t="str">
        <f t="shared" si="53"/>
        <v/>
      </c>
    </row>
    <row r="592" spans="1:8" x14ac:dyDescent="0.25">
      <c r="A592" s="35" t="str">
        <f t="shared" si="48"/>
        <v/>
      </c>
      <c r="B592" s="36" t="str">
        <f t="shared" si="49"/>
        <v/>
      </c>
      <c r="C592" s="37" t="str">
        <f t="shared" si="50"/>
        <v/>
      </c>
      <c r="D592" s="38"/>
      <c r="E592" s="38"/>
      <c r="F592" s="39" t="str">
        <f t="shared" si="51"/>
        <v/>
      </c>
      <c r="G592" s="39" t="str">
        <f t="shared" si="52"/>
        <v/>
      </c>
      <c r="H592" s="39" t="str">
        <f t="shared" si="53"/>
        <v/>
      </c>
    </row>
    <row r="593" spans="1:8" x14ac:dyDescent="0.25">
      <c r="A593" s="35" t="str">
        <f t="shared" si="48"/>
        <v/>
      </c>
      <c r="B593" s="36" t="str">
        <f t="shared" si="49"/>
        <v/>
      </c>
      <c r="C593" s="37" t="str">
        <f t="shared" si="50"/>
        <v/>
      </c>
      <c r="D593" s="38"/>
      <c r="E593" s="38"/>
      <c r="F593" s="39" t="str">
        <f t="shared" si="51"/>
        <v/>
      </c>
      <c r="G593" s="39" t="str">
        <f t="shared" si="52"/>
        <v/>
      </c>
      <c r="H593" s="39" t="str">
        <f t="shared" si="53"/>
        <v/>
      </c>
    </row>
    <row r="594" spans="1:8" x14ac:dyDescent="0.25">
      <c r="A594" s="35" t="str">
        <f t="shared" si="48"/>
        <v/>
      </c>
      <c r="B594" s="36" t="str">
        <f t="shared" si="49"/>
        <v/>
      </c>
      <c r="C594" s="37" t="str">
        <f t="shared" si="50"/>
        <v/>
      </c>
      <c r="D594" s="38"/>
      <c r="E594" s="38"/>
      <c r="F594" s="39" t="str">
        <f t="shared" si="51"/>
        <v/>
      </c>
      <c r="G594" s="39" t="str">
        <f t="shared" si="52"/>
        <v/>
      </c>
      <c r="H594" s="39" t="str">
        <f t="shared" si="53"/>
        <v/>
      </c>
    </row>
    <row r="595" spans="1:8" x14ac:dyDescent="0.25">
      <c r="A595" s="35" t="str">
        <f t="shared" si="48"/>
        <v/>
      </c>
      <c r="B595" s="36" t="str">
        <f t="shared" si="49"/>
        <v/>
      </c>
      <c r="C595" s="37" t="str">
        <f t="shared" si="50"/>
        <v/>
      </c>
      <c r="D595" s="38"/>
      <c r="E595" s="38"/>
      <c r="F595" s="39" t="str">
        <f t="shared" si="51"/>
        <v/>
      </c>
      <c r="G595" s="39" t="str">
        <f t="shared" si="52"/>
        <v/>
      </c>
      <c r="H595" s="39" t="str">
        <f t="shared" si="53"/>
        <v/>
      </c>
    </row>
    <row r="596" spans="1:8" x14ac:dyDescent="0.25">
      <c r="A596" s="35" t="str">
        <f t="shared" si="48"/>
        <v/>
      </c>
      <c r="B596" s="36" t="str">
        <f t="shared" si="49"/>
        <v/>
      </c>
      <c r="C596" s="37" t="str">
        <f t="shared" si="50"/>
        <v/>
      </c>
      <c r="D596" s="38"/>
      <c r="E596" s="38"/>
      <c r="F596" s="39" t="str">
        <f t="shared" si="51"/>
        <v/>
      </c>
      <c r="G596" s="39" t="str">
        <f t="shared" si="52"/>
        <v/>
      </c>
      <c r="H596" s="39" t="str">
        <f t="shared" si="53"/>
        <v/>
      </c>
    </row>
    <row r="597" spans="1:8" x14ac:dyDescent="0.25">
      <c r="A597" s="35" t="str">
        <f t="shared" si="48"/>
        <v/>
      </c>
      <c r="B597" s="36" t="str">
        <f t="shared" si="49"/>
        <v/>
      </c>
      <c r="C597" s="37" t="str">
        <f t="shared" si="50"/>
        <v/>
      </c>
      <c r="D597" s="38"/>
      <c r="E597" s="38"/>
      <c r="F597" s="39" t="str">
        <f t="shared" si="51"/>
        <v/>
      </c>
      <c r="G597" s="39" t="str">
        <f t="shared" si="52"/>
        <v/>
      </c>
      <c r="H597" s="39" t="str">
        <f t="shared" si="53"/>
        <v/>
      </c>
    </row>
    <row r="598" spans="1:8" x14ac:dyDescent="0.25">
      <c r="A598" s="35" t="str">
        <f t="shared" si="48"/>
        <v/>
      </c>
      <c r="B598" s="36" t="str">
        <f t="shared" si="49"/>
        <v/>
      </c>
      <c r="C598" s="37" t="str">
        <f t="shared" si="50"/>
        <v/>
      </c>
      <c r="D598" s="38"/>
      <c r="E598" s="38"/>
      <c r="F598" s="39" t="str">
        <f t="shared" si="51"/>
        <v/>
      </c>
      <c r="G598" s="39" t="str">
        <f t="shared" si="52"/>
        <v/>
      </c>
      <c r="H598" s="39" t="str">
        <f t="shared" si="53"/>
        <v/>
      </c>
    </row>
    <row r="599" spans="1:8" x14ac:dyDescent="0.25">
      <c r="A599" s="35" t="str">
        <f t="shared" si="48"/>
        <v/>
      </c>
      <c r="B599" s="36" t="str">
        <f t="shared" si="49"/>
        <v/>
      </c>
      <c r="C599" s="37" t="str">
        <f t="shared" si="50"/>
        <v/>
      </c>
      <c r="D599" s="38"/>
      <c r="E599" s="38"/>
      <c r="F599" s="39" t="str">
        <f t="shared" si="51"/>
        <v/>
      </c>
      <c r="G599" s="39" t="str">
        <f t="shared" si="52"/>
        <v/>
      </c>
      <c r="H599" s="39" t="str">
        <f t="shared" si="53"/>
        <v/>
      </c>
    </row>
    <row r="600" spans="1:8" x14ac:dyDescent="0.25">
      <c r="A600" s="35" t="str">
        <f t="shared" si="48"/>
        <v/>
      </c>
      <c r="B600" s="36" t="str">
        <f t="shared" si="49"/>
        <v/>
      </c>
      <c r="C600" s="37" t="str">
        <f t="shared" si="50"/>
        <v/>
      </c>
      <c r="D600" s="38"/>
      <c r="E600" s="38"/>
      <c r="F600" s="39" t="str">
        <f t="shared" si="51"/>
        <v/>
      </c>
      <c r="G600" s="39" t="str">
        <f t="shared" si="52"/>
        <v/>
      </c>
      <c r="H600" s="39" t="str">
        <f t="shared" si="53"/>
        <v/>
      </c>
    </row>
    <row r="601" spans="1:8" x14ac:dyDescent="0.25">
      <c r="A601" s="35" t="str">
        <f t="shared" si="48"/>
        <v/>
      </c>
      <c r="B601" s="36" t="str">
        <f t="shared" si="49"/>
        <v/>
      </c>
      <c r="C601" s="37" t="str">
        <f t="shared" si="50"/>
        <v/>
      </c>
      <c r="D601" s="38"/>
      <c r="E601" s="38"/>
      <c r="F601" s="39" t="str">
        <f t="shared" si="51"/>
        <v/>
      </c>
      <c r="G601" s="39" t="str">
        <f t="shared" si="52"/>
        <v/>
      </c>
      <c r="H601" s="39" t="str">
        <f t="shared" si="53"/>
        <v/>
      </c>
    </row>
    <row r="602" spans="1:8" x14ac:dyDescent="0.25">
      <c r="A602" s="35" t="str">
        <f t="shared" ref="A602:A665" si="54">IF(H601="","",IF(roundOpt,IF(OR(A601&gt;=nPer,ROUND(H601,2)&lt;=0),"",A601+1),IF(OR(A601&gt;=nPer,H601&lt;=0),"",A601+1)))</f>
        <v/>
      </c>
      <c r="B602" s="36" t="str">
        <f t="shared" ref="B602:B665" si="55">IF(A602="","",IF(OR(periods_per_year=26,periods_per_year=52),IF(periods_per_year=26,IF(A602=1,beginDate,B601+14),IF(periods_per_year=52,IF(A602=1,beginDate,B601+7),"n/a")),IF(periods_per_year=24,DATE(YEAR(beginDate),MONTH(beginDate)+(A602-1)/2+IF(AND(DAY(beginDate)&gt;=15,MOD(A602,2)=0),1,0),IF(MOD(A602,2)=0,IF(DAY(beginDate)&gt;=15,DAY(beginDate)-14,DAY(beginDate)+14),DAY(beginDate))),IF(DAY(DATE(YEAR(beginDate),MONTH(beginDate)+(A602-1)*monthsPerPeriod,DAY(beginDate)))&lt;&gt;DAY(beginDate),DATE(YEAR(beginDate),MONTH(beginDate)+(A602-1)*monthsPerPeriod+1,0),DATE(YEAR(beginDate),MONTH(beginDate)+(A602-1)*monthsPerPeriod,DAY(beginDate))))))</f>
        <v/>
      </c>
      <c r="C602" s="37" t="str">
        <f t="shared" ref="C602:C665" si="56">IF(A602="","",IF(roundOpt,IF(OR(A602=nPer,payment&gt;ROUND((1+rate)*H601,2)),ROUND((1+rate)*H601,2),payment),IF(OR(A602=nPer,payment&gt;(1+rate)*H601),(1+rate)*H601,payment)))</f>
        <v/>
      </c>
      <c r="D602" s="38"/>
      <c r="E602" s="38"/>
      <c r="F602" s="39" t="str">
        <f t="shared" ref="F602:F665" si="57">IF(A602="","",IF(AND(A602=1,pmtType=1),0,IF(roundOpt,ROUND(rate*H601,2),rate*H601)))</f>
        <v/>
      </c>
      <c r="G602" s="39" t="str">
        <f t="shared" ref="G602:G665" si="58">IF(A602="","",C602-F602+D602)</f>
        <v/>
      </c>
      <c r="H602" s="39" t="str">
        <f t="shared" ref="H602:H665" si="59">IF(A602="","",H601-G602)</f>
        <v/>
      </c>
    </row>
    <row r="603" spans="1:8" x14ac:dyDescent="0.25">
      <c r="A603" s="35" t="str">
        <f t="shared" si="54"/>
        <v/>
      </c>
      <c r="B603" s="36" t="str">
        <f t="shared" si="55"/>
        <v/>
      </c>
      <c r="C603" s="37" t="str">
        <f t="shared" si="56"/>
        <v/>
      </c>
      <c r="D603" s="38"/>
      <c r="E603" s="38"/>
      <c r="F603" s="39" t="str">
        <f t="shared" si="57"/>
        <v/>
      </c>
      <c r="G603" s="39" t="str">
        <f t="shared" si="58"/>
        <v/>
      </c>
      <c r="H603" s="39" t="str">
        <f t="shared" si="59"/>
        <v/>
      </c>
    </row>
    <row r="604" spans="1:8" x14ac:dyDescent="0.25">
      <c r="A604" s="35" t="str">
        <f t="shared" si="54"/>
        <v/>
      </c>
      <c r="B604" s="36" t="str">
        <f t="shared" si="55"/>
        <v/>
      </c>
      <c r="C604" s="37" t="str">
        <f t="shared" si="56"/>
        <v/>
      </c>
      <c r="D604" s="38"/>
      <c r="E604" s="38"/>
      <c r="F604" s="39" t="str">
        <f t="shared" si="57"/>
        <v/>
      </c>
      <c r="G604" s="39" t="str">
        <f t="shared" si="58"/>
        <v/>
      </c>
      <c r="H604" s="39" t="str">
        <f t="shared" si="59"/>
        <v/>
      </c>
    </row>
    <row r="605" spans="1:8" x14ac:dyDescent="0.25">
      <c r="A605" s="35" t="str">
        <f t="shared" si="54"/>
        <v/>
      </c>
      <c r="B605" s="36" t="str">
        <f t="shared" si="55"/>
        <v/>
      </c>
      <c r="C605" s="37" t="str">
        <f t="shared" si="56"/>
        <v/>
      </c>
      <c r="D605" s="38"/>
      <c r="E605" s="38"/>
      <c r="F605" s="39" t="str">
        <f t="shared" si="57"/>
        <v/>
      </c>
      <c r="G605" s="39" t="str">
        <f t="shared" si="58"/>
        <v/>
      </c>
      <c r="H605" s="39" t="str">
        <f t="shared" si="59"/>
        <v/>
      </c>
    </row>
    <row r="606" spans="1:8" x14ac:dyDescent="0.25">
      <c r="A606" s="35" t="str">
        <f t="shared" si="54"/>
        <v/>
      </c>
      <c r="B606" s="36" t="str">
        <f t="shared" si="55"/>
        <v/>
      </c>
      <c r="C606" s="37" t="str">
        <f t="shared" si="56"/>
        <v/>
      </c>
      <c r="D606" s="38"/>
      <c r="E606" s="38"/>
      <c r="F606" s="39" t="str">
        <f t="shared" si="57"/>
        <v/>
      </c>
      <c r="G606" s="39" t="str">
        <f t="shared" si="58"/>
        <v/>
      </c>
      <c r="H606" s="39" t="str">
        <f t="shared" si="59"/>
        <v/>
      </c>
    </row>
    <row r="607" spans="1:8" x14ac:dyDescent="0.25">
      <c r="A607" s="35" t="str">
        <f t="shared" si="54"/>
        <v/>
      </c>
      <c r="B607" s="36" t="str">
        <f t="shared" si="55"/>
        <v/>
      </c>
      <c r="C607" s="37" t="str">
        <f t="shared" si="56"/>
        <v/>
      </c>
      <c r="D607" s="38"/>
      <c r="E607" s="38"/>
      <c r="F607" s="39" t="str">
        <f t="shared" si="57"/>
        <v/>
      </c>
      <c r="G607" s="39" t="str">
        <f t="shared" si="58"/>
        <v/>
      </c>
      <c r="H607" s="39" t="str">
        <f t="shared" si="59"/>
        <v/>
      </c>
    </row>
    <row r="608" spans="1:8" x14ac:dyDescent="0.25">
      <c r="A608" s="35" t="str">
        <f t="shared" si="54"/>
        <v/>
      </c>
      <c r="B608" s="36" t="str">
        <f t="shared" si="55"/>
        <v/>
      </c>
      <c r="C608" s="37" t="str">
        <f t="shared" si="56"/>
        <v/>
      </c>
      <c r="D608" s="38"/>
      <c r="E608" s="38"/>
      <c r="F608" s="39" t="str">
        <f t="shared" si="57"/>
        <v/>
      </c>
      <c r="G608" s="39" t="str">
        <f t="shared" si="58"/>
        <v/>
      </c>
      <c r="H608" s="39" t="str">
        <f t="shared" si="59"/>
        <v/>
      </c>
    </row>
    <row r="609" spans="1:8" x14ac:dyDescent="0.25">
      <c r="A609" s="35" t="str">
        <f t="shared" si="54"/>
        <v/>
      </c>
      <c r="B609" s="36" t="str">
        <f t="shared" si="55"/>
        <v/>
      </c>
      <c r="C609" s="37" t="str">
        <f t="shared" si="56"/>
        <v/>
      </c>
      <c r="D609" s="38"/>
      <c r="E609" s="38"/>
      <c r="F609" s="39" t="str">
        <f t="shared" si="57"/>
        <v/>
      </c>
      <c r="G609" s="39" t="str">
        <f t="shared" si="58"/>
        <v/>
      </c>
      <c r="H609" s="39" t="str">
        <f t="shared" si="59"/>
        <v/>
      </c>
    </row>
    <row r="610" spans="1:8" x14ac:dyDescent="0.25">
      <c r="A610" s="35" t="str">
        <f t="shared" si="54"/>
        <v/>
      </c>
      <c r="B610" s="36" t="str">
        <f t="shared" si="55"/>
        <v/>
      </c>
      <c r="C610" s="37" t="str">
        <f t="shared" si="56"/>
        <v/>
      </c>
      <c r="D610" s="38"/>
      <c r="E610" s="38"/>
      <c r="F610" s="39" t="str">
        <f t="shared" si="57"/>
        <v/>
      </c>
      <c r="G610" s="39" t="str">
        <f t="shared" si="58"/>
        <v/>
      </c>
      <c r="H610" s="39" t="str">
        <f t="shared" si="59"/>
        <v/>
      </c>
    </row>
    <row r="611" spans="1:8" x14ac:dyDescent="0.25">
      <c r="A611" s="35" t="str">
        <f t="shared" si="54"/>
        <v/>
      </c>
      <c r="B611" s="36" t="str">
        <f t="shared" si="55"/>
        <v/>
      </c>
      <c r="C611" s="37" t="str">
        <f t="shared" si="56"/>
        <v/>
      </c>
      <c r="D611" s="38"/>
      <c r="E611" s="38"/>
      <c r="F611" s="39" t="str">
        <f t="shared" si="57"/>
        <v/>
      </c>
      <c r="G611" s="39" t="str">
        <f t="shared" si="58"/>
        <v/>
      </c>
      <c r="H611" s="39" t="str">
        <f t="shared" si="59"/>
        <v/>
      </c>
    </row>
    <row r="612" spans="1:8" x14ac:dyDescent="0.25">
      <c r="A612" s="35" t="str">
        <f t="shared" si="54"/>
        <v/>
      </c>
      <c r="B612" s="36" t="str">
        <f t="shared" si="55"/>
        <v/>
      </c>
      <c r="C612" s="37" t="str">
        <f t="shared" si="56"/>
        <v/>
      </c>
      <c r="D612" s="38"/>
      <c r="E612" s="38"/>
      <c r="F612" s="39" t="str">
        <f t="shared" si="57"/>
        <v/>
      </c>
      <c r="G612" s="39" t="str">
        <f t="shared" si="58"/>
        <v/>
      </c>
      <c r="H612" s="39" t="str">
        <f t="shared" si="59"/>
        <v/>
      </c>
    </row>
    <row r="613" spans="1:8" x14ac:dyDescent="0.25">
      <c r="A613" s="35" t="str">
        <f t="shared" si="54"/>
        <v/>
      </c>
      <c r="B613" s="36" t="str">
        <f t="shared" si="55"/>
        <v/>
      </c>
      <c r="C613" s="37" t="str">
        <f t="shared" si="56"/>
        <v/>
      </c>
      <c r="D613" s="38"/>
      <c r="E613" s="38"/>
      <c r="F613" s="39" t="str">
        <f t="shared" si="57"/>
        <v/>
      </c>
      <c r="G613" s="39" t="str">
        <f t="shared" si="58"/>
        <v/>
      </c>
      <c r="H613" s="39" t="str">
        <f t="shared" si="59"/>
        <v/>
      </c>
    </row>
    <row r="614" spans="1:8" x14ac:dyDescent="0.25">
      <c r="A614" s="35" t="str">
        <f t="shared" si="54"/>
        <v/>
      </c>
      <c r="B614" s="36" t="str">
        <f t="shared" si="55"/>
        <v/>
      </c>
      <c r="C614" s="37" t="str">
        <f t="shared" si="56"/>
        <v/>
      </c>
      <c r="D614" s="38"/>
      <c r="E614" s="38"/>
      <c r="F614" s="39" t="str">
        <f t="shared" si="57"/>
        <v/>
      </c>
      <c r="G614" s="39" t="str">
        <f t="shared" si="58"/>
        <v/>
      </c>
      <c r="H614" s="39" t="str">
        <f t="shared" si="59"/>
        <v/>
      </c>
    </row>
    <row r="615" spans="1:8" x14ac:dyDescent="0.25">
      <c r="A615" s="35" t="str">
        <f t="shared" si="54"/>
        <v/>
      </c>
      <c r="B615" s="36" t="str">
        <f t="shared" si="55"/>
        <v/>
      </c>
      <c r="C615" s="37" t="str">
        <f t="shared" si="56"/>
        <v/>
      </c>
      <c r="D615" s="38"/>
      <c r="E615" s="38"/>
      <c r="F615" s="39" t="str">
        <f t="shared" si="57"/>
        <v/>
      </c>
      <c r="G615" s="39" t="str">
        <f t="shared" si="58"/>
        <v/>
      </c>
      <c r="H615" s="39" t="str">
        <f t="shared" si="59"/>
        <v/>
      </c>
    </row>
    <row r="616" spans="1:8" x14ac:dyDescent="0.25">
      <c r="A616" s="35" t="str">
        <f t="shared" si="54"/>
        <v/>
      </c>
      <c r="B616" s="36" t="str">
        <f t="shared" si="55"/>
        <v/>
      </c>
      <c r="C616" s="37" t="str">
        <f t="shared" si="56"/>
        <v/>
      </c>
      <c r="D616" s="38"/>
      <c r="E616" s="38"/>
      <c r="F616" s="39" t="str">
        <f t="shared" si="57"/>
        <v/>
      </c>
      <c r="G616" s="39" t="str">
        <f t="shared" si="58"/>
        <v/>
      </c>
      <c r="H616" s="39" t="str">
        <f t="shared" si="59"/>
        <v/>
      </c>
    </row>
    <row r="617" spans="1:8" x14ac:dyDescent="0.25">
      <c r="A617" s="35" t="str">
        <f t="shared" si="54"/>
        <v/>
      </c>
      <c r="B617" s="36" t="str">
        <f t="shared" si="55"/>
        <v/>
      </c>
      <c r="C617" s="37" t="str">
        <f t="shared" si="56"/>
        <v/>
      </c>
      <c r="D617" s="38"/>
      <c r="E617" s="38"/>
      <c r="F617" s="39" t="str">
        <f t="shared" si="57"/>
        <v/>
      </c>
      <c r="G617" s="39" t="str">
        <f t="shared" si="58"/>
        <v/>
      </c>
      <c r="H617" s="39" t="str">
        <f t="shared" si="59"/>
        <v/>
      </c>
    </row>
    <row r="618" spans="1:8" x14ac:dyDescent="0.25">
      <c r="A618" s="35" t="str">
        <f t="shared" si="54"/>
        <v/>
      </c>
      <c r="B618" s="36" t="str">
        <f t="shared" si="55"/>
        <v/>
      </c>
      <c r="C618" s="37" t="str">
        <f t="shared" si="56"/>
        <v/>
      </c>
      <c r="D618" s="38"/>
      <c r="E618" s="38"/>
      <c r="F618" s="39" t="str">
        <f t="shared" si="57"/>
        <v/>
      </c>
      <c r="G618" s="39" t="str">
        <f t="shared" si="58"/>
        <v/>
      </c>
      <c r="H618" s="39" t="str">
        <f t="shared" si="59"/>
        <v/>
      </c>
    </row>
    <row r="619" spans="1:8" x14ac:dyDescent="0.25">
      <c r="A619" s="35" t="str">
        <f t="shared" si="54"/>
        <v/>
      </c>
      <c r="B619" s="36" t="str">
        <f t="shared" si="55"/>
        <v/>
      </c>
      <c r="C619" s="37" t="str">
        <f t="shared" si="56"/>
        <v/>
      </c>
      <c r="D619" s="38"/>
      <c r="E619" s="38"/>
      <c r="F619" s="39" t="str">
        <f t="shared" si="57"/>
        <v/>
      </c>
      <c r="G619" s="39" t="str">
        <f t="shared" si="58"/>
        <v/>
      </c>
      <c r="H619" s="39" t="str">
        <f t="shared" si="59"/>
        <v/>
      </c>
    </row>
    <row r="620" spans="1:8" x14ac:dyDescent="0.25">
      <c r="A620" s="35" t="str">
        <f t="shared" si="54"/>
        <v/>
      </c>
      <c r="B620" s="36" t="str">
        <f t="shared" si="55"/>
        <v/>
      </c>
      <c r="C620" s="37" t="str">
        <f t="shared" si="56"/>
        <v/>
      </c>
      <c r="D620" s="38"/>
      <c r="E620" s="38"/>
      <c r="F620" s="39" t="str">
        <f t="shared" si="57"/>
        <v/>
      </c>
      <c r="G620" s="39" t="str">
        <f t="shared" si="58"/>
        <v/>
      </c>
      <c r="H620" s="39" t="str">
        <f t="shared" si="59"/>
        <v/>
      </c>
    </row>
    <row r="621" spans="1:8" x14ac:dyDescent="0.25">
      <c r="A621" s="35" t="str">
        <f t="shared" si="54"/>
        <v/>
      </c>
      <c r="B621" s="36" t="str">
        <f t="shared" si="55"/>
        <v/>
      </c>
      <c r="C621" s="37" t="str">
        <f t="shared" si="56"/>
        <v/>
      </c>
      <c r="D621" s="38"/>
      <c r="E621" s="38"/>
      <c r="F621" s="39" t="str">
        <f t="shared" si="57"/>
        <v/>
      </c>
      <c r="G621" s="39" t="str">
        <f t="shared" si="58"/>
        <v/>
      </c>
      <c r="H621" s="39" t="str">
        <f t="shared" si="59"/>
        <v/>
      </c>
    </row>
    <row r="622" spans="1:8" x14ac:dyDescent="0.25">
      <c r="A622" s="35" t="str">
        <f t="shared" si="54"/>
        <v/>
      </c>
      <c r="B622" s="36" t="str">
        <f t="shared" si="55"/>
        <v/>
      </c>
      <c r="C622" s="37" t="str">
        <f t="shared" si="56"/>
        <v/>
      </c>
      <c r="D622" s="38"/>
      <c r="E622" s="38"/>
      <c r="F622" s="39" t="str">
        <f t="shared" si="57"/>
        <v/>
      </c>
      <c r="G622" s="39" t="str">
        <f t="shared" si="58"/>
        <v/>
      </c>
      <c r="H622" s="39" t="str">
        <f t="shared" si="59"/>
        <v/>
      </c>
    </row>
    <row r="623" spans="1:8" x14ac:dyDescent="0.25">
      <c r="A623" s="35" t="str">
        <f t="shared" si="54"/>
        <v/>
      </c>
      <c r="B623" s="36" t="str">
        <f t="shared" si="55"/>
        <v/>
      </c>
      <c r="C623" s="37" t="str">
        <f t="shared" si="56"/>
        <v/>
      </c>
      <c r="D623" s="38"/>
      <c r="E623" s="38"/>
      <c r="F623" s="39" t="str">
        <f t="shared" si="57"/>
        <v/>
      </c>
      <c r="G623" s="39" t="str">
        <f t="shared" si="58"/>
        <v/>
      </c>
      <c r="H623" s="39" t="str">
        <f t="shared" si="59"/>
        <v/>
      </c>
    </row>
    <row r="624" spans="1:8" x14ac:dyDescent="0.25">
      <c r="A624" s="35" t="str">
        <f t="shared" si="54"/>
        <v/>
      </c>
      <c r="B624" s="36" t="str">
        <f t="shared" si="55"/>
        <v/>
      </c>
      <c r="C624" s="37" t="str">
        <f t="shared" si="56"/>
        <v/>
      </c>
      <c r="D624" s="38"/>
      <c r="E624" s="38"/>
      <c r="F624" s="39" t="str">
        <f t="shared" si="57"/>
        <v/>
      </c>
      <c r="G624" s="39" t="str">
        <f t="shared" si="58"/>
        <v/>
      </c>
      <c r="H624" s="39" t="str">
        <f t="shared" si="59"/>
        <v/>
      </c>
    </row>
    <row r="625" spans="1:8" x14ac:dyDescent="0.25">
      <c r="A625" s="35" t="str">
        <f t="shared" si="54"/>
        <v/>
      </c>
      <c r="B625" s="36" t="str">
        <f t="shared" si="55"/>
        <v/>
      </c>
      <c r="C625" s="37" t="str">
        <f t="shared" si="56"/>
        <v/>
      </c>
      <c r="D625" s="38"/>
      <c r="E625" s="38"/>
      <c r="F625" s="39" t="str">
        <f t="shared" si="57"/>
        <v/>
      </c>
      <c r="G625" s="39" t="str">
        <f t="shared" si="58"/>
        <v/>
      </c>
      <c r="H625" s="39" t="str">
        <f t="shared" si="59"/>
        <v/>
      </c>
    </row>
    <row r="626" spans="1:8" x14ac:dyDescent="0.25">
      <c r="A626" s="35" t="str">
        <f t="shared" si="54"/>
        <v/>
      </c>
      <c r="B626" s="36" t="str">
        <f t="shared" si="55"/>
        <v/>
      </c>
      <c r="C626" s="37" t="str">
        <f t="shared" si="56"/>
        <v/>
      </c>
      <c r="D626" s="38"/>
      <c r="E626" s="38"/>
      <c r="F626" s="39" t="str">
        <f t="shared" si="57"/>
        <v/>
      </c>
      <c r="G626" s="39" t="str">
        <f t="shared" si="58"/>
        <v/>
      </c>
      <c r="H626" s="39" t="str">
        <f t="shared" si="59"/>
        <v/>
      </c>
    </row>
    <row r="627" spans="1:8" x14ac:dyDescent="0.25">
      <c r="A627" s="35" t="str">
        <f t="shared" si="54"/>
        <v/>
      </c>
      <c r="B627" s="36" t="str">
        <f t="shared" si="55"/>
        <v/>
      </c>
      <c r="C627" s="37" t="str">
        <f t="shared" si="56"/>
        <v/>
      </c>
      <c r="D627" s="38"/>
      <c r="E627" s="38"/>
      <c r="F627" s="39" t="str">
        <f t="shared" si="57"/>
        <v/>
      </c>
      <c r="G627" s="39" t="str">
        <f t="shared" si="58"/>
        <v/>
      </c>
      <c r="H627" s="39" t="str">
        <f t="shared" si="59"/>
        <v/>
      </c>
    </row>
    <row r="628" spans="1:8" x14ac:dyDescent="0.25">
      <c r="A628" s="35" t="str">
        <f t="shared" si="54"/>
        <v/>
      </c>
      <c r="B628" s="36" t="str">
        <f t="shared" si="55"/>
        <v/>
      </c>
      <c r="C628" s="37" t="str">
        <f t="shared" si="56"/>
        <v/>
      </c>
      <c r="D628" s="38"/>
      <c r="E628" s="38"/>
      <c r="F628" s="39" t="str">
        <f t="shared" si="57"/>
        <v/>
      </c>
      <c r="G628" s="39" t="str">
        <f t="shared" si="58"/>
        <v/>
      </c>
      <c r="H628" s="39" t="str">
        <f t="shared" si="59"/>
        <v/>
      </c>
    </row>
    <row r="629" spans="1:8" x14ac:dyDescent="0.25">
      <c r="A629" s="35" t="str">
        <f t="shared" si="54"/>
        <v/>
      </c>
      <c r="B629" s="36" t="str">
        <f t="shared" si="55"/>
        <v/>
      </c>
      <c r="C629" s="37" t="str">
        <f t="shared" si="56"/>
        <v/>
      </c>
      <c r="D629" s="38"/>
      <c r="E629" s="38"/>
      <c r="F629" s="39" t="str">
        <f t="shared" si="57"/>
        <v/>
      </c>
      <c r="G629" s="39" t="str">
        <f t="shared" si="58"/>
        <v/>
      </c>
      <c r="H629" s="39" t="str">
        <f t="shared" si="59"/>
        <v/>
      </c>
    </row>
    <row r="630" spans="1:8" x14ac:dyDescent="0.25">
      <c r="A630" s="35" t="str">
        <f t="shared" si="54"/>
        <v/>
      </c>
      <c r="B630" s="36" t="str">
        <f t="shared" si="55"/>
        <v/>
      </c>
      <c r="C630" s="37" t="str">
        <f t="shared" si="56"/>
        <v/>
      </c>
      <c r="D630" s="38"/>
      <c r="E630" s="38"/>
      <c r="F630" s="39" t="str">
        <f t="shared" si="57"/>
        <v/>
      </c>
      <c r="G630" s="39" t="str">
        <f t="shared" si="58"/>
        <v/>
      </c>
      <c r="H630" s="39" t="str">
        <f t="shared" si="59"/>
        <v/>
      </c>
    </row>
    <row r="631" spans="1:8" x14ac:dyDescent="0.25">
      <c r="A631" s="35" t="str">
        <f t="shared" si="54"/>
        <v/>
      </c>
      <c r="B631" s="36" t="str">
        <f t="shared" si="55"/>
        <v/>
      </c>
      <c r="C631" s="37" t="str">
        <f t="shared" si="56"/>
        <v/>
      </c>
      <c r="D631" s="38"/>
      <c r="E631" s="38"/>
      <c r="F631" s="39" t="str">
        <f t="shared" si="57"/>
        <v/>
      </c>
      <c r="G631" s="39" t="str">
        <f t="shared" si="58"/>
        <v/>
      </c>
      <c r="H631" s="39" t="str">
        <f t="shared" si="59"/>
        <v/>
      </c>
    </row>
    <row r="632" spans="1:8" x14ac:dyDescent="0.25">
      <c r="A632" s="35" t="str">
        <f t="shared" si="54"/>
        <v/>
      </c>
      <c r="B632" s="36" t="str">
        <f t="shared" si="55"/>
        <v/>
      </c>
      <c r="C632" s="37" t="str">
        <f t="shared" si="56"/>
        <v/>
      </c>
      <c r="D632" s="38"/>
      <c r="E632" s="38"/>
      <c r="F632" s="39" t="str">
        <f t="shared" si="57"/>
        <v/>
      </c>
      <c r="G632" s="39" t="str">
        <f t="shared" si="58"/>
        <v/>
      </c>
      <c r="H632" s="39" t="str">
        <f t="shared" si="59"/>
        <v/>
      </c>
    </row>
    <row r="633" spans="1:8" x14ac:dyDescent="0.25">
      <c r="A633" s="35" t="str">
        <f t="shared" si="54"/>
        <v/>
      </c>
      <c r="B633" s="36" t="str">
        <f t="shared" si="55"/>
        <v/>
      </c>
      <c r="C633" s="37" t="str">
        <f t="shared" si="56"/>
        <v/>
      </c>
      <c r="D633" s="38"/>
      <c r="E633" s="38"/>
      <c r="F633" s="39" t="str">
        <f t="shared" si="57"/>
        <v/>
      </c>
      <c r="G633" s="39" t="str">
        <f t="shared" si="58"/>
        <v/>
      </c>
      <c r="H633" s="39" t="str">
        <f t="shared" si="59"/>
        <v/>
      </c>
    </row>
    <row r="634" spans="1:8" x14ac:dyDescent="0.25">
      <c r="A634" s="35" t="str">
        <f t="shared" si="54"/>
        <v/>
      </c>
      <c r="B634" s="36" t="str">
        <f t="shared" si="55"/>
        <v/>
      </c>
      <c r="C634" s="37" t="str">
        <f t="shared" si="56"/>
        <v/>
      </c>
      <c r="D634" s="38"/>
      <c r="E634" s="38"/>
      <c r="F634" s="39" t="str">
        <f t="shared" si="57"/>
        <v/>
      </c>
      <c r="G634" s="39" t="str">
        <f t="shared" si="58"/>
        <v/>
      </c>
      <c r="H634" s="39" t="str">
        <f t="shared" si="59"/>
        <v/>
      </c>
    </row>
    <row r="635" spans="1:8" x14ac:dyDescent="0.25">
      <c r="A635" s="35" t="str">
        <f t="shared" si="54"/>
        <v/>
      </c>
      <c r="B635" s="36" t="str">
        <f t="shared" si="55"/>
        <v/>
      </c>
      <c r="C635" s="37" t="str">
        <f t="shared" si="56"/>
        <v/>
      </c>
      <c r="D635" s="38"/>
      <c r="E635" s="38"/>
      <c r="F635" s="39" t="str">
        <f t="shared" si="57"/>
        <v/>
      </c>
      <c r="G635" s="39" t="str">
        <f t="shared" si="58"/>
        <v/>
      </c>
      <c r="H635" s="39" t="str">
        <f t="shared" si="59"/>
        <v/>
      </c>
    </row>
    <row r="636" spans="1:8" x14ac:dyDescent="0.25">
      <c r="A636" s="35" t="str">
        <f t="shared" si="54"/>
        <v/>
      </c>
      <c r="B636" s="36" t="str">
        <f t="shared" si="55"/>
        <v/>
      </c>
      <c r="C636" s="37" t="str">
        <f t="shared" si="56"/>
        <v/>
      </c>
      <c r="D636" s="38"/>
      <c r="E636" s="38"/>
      <c r="F636" s="39" t="str">
        <f t="shared" si="57"/>
        <v/>
      </c>
      <c r="G636" s="39" t="str">
        <f t="shared" si="58"/>
        <v/>
      </c>
      <c r="H636" s="39" t="str">
        <f t="shared" si="59"/>
        <v/>
      </c>
    </row>
    <row r="637" spans="1:8" x14ac:dyDescent="0.25">
      <c r="A637" s="35" t="str">
        <f t="shared" si="54"/>
        <v/>
      </c>
      <c r="B637" s="36" t="str">
        <f t="shared" si="55"/>
        <v/>
      </c>
      <c r="C637" s="37" t="str">
        <f t="shared" si="56"/>
        <v/>
      </c>
      <c r="D637" s="38"/>
      <c r="E637" s="38"/>
      <c r="F637" s="39" t="str">
        <f t="shared" si="57"/>
        <v/>
      </c>
      <c r="G637" s="39" t="str">
        <f t="shared" si="58"/>
        <v/>
      </c>
      <c r="H637" s="39" t="str">
        <f t="shared" si="59"/>
        <v/>
      </c>
    </row>
    <row r="638" spans="1:8" x14ac:dyDescent="0.25">
      <c r="A638" s="35" t="str">
        <f t="shared" si="54"/>
        <v/>
      </c>
      <c r="B638" s="36" t="str">
        <f t="shared" si="55"/>
        <v/>
      </c>
      <c r="C638" s="37" t="str">
        <f t="shared" si="56"/>
        <v/>
      </c>
      <c r="D638" s="38"/>
      <c r="E638" s="38"/>
      <c r="F638" s="39" t="str">
        <f t="shared" si="57"/>
        <v/>
      </c>
      <c r="G638" s="39" t="str">
        <f t="shared" si="58"/>
        <v/>
      </c>
      <c r="H638" s="39" t="str">
        <f t="shared" si="59"/>
        <v/>
      </c>
    </row>
    <row r="639" spans="1:8" x14ac:dyDescent="0.25">
      <c r="A639" s="35" t="str">
        <f t="shared" si="54"/>
        <v/>
      </c>
      <c r="B639" s="36" t="str">
        <f t="shared" si="55"/>
        <v/>
      </c>
      <c r="C639" s="37" t="str">
        <f t="shared" si="56"/>
        <v/>
      </c>
      <c r="D639" s="38"/>
      <c r="E639" s="38"/>
      <c r="F639" s="39" t="str">
        <f t="shared" si="57"/>
        <v/>
      </c>
      <c r="G639" s="39" t="str">
        <f t="shared" si="58"/>
        <v/>
      </c>
      <c r="H639" s="39" t="str">
        <f t="shared" si="59"/>
        <v/>
      </c>
    </row>
    <row r="640" spans="1:8" x14ac:dyDescent="0.25">
      <c r="A640" s="35" t="str">
        <f t="shared" si="54"/>
        <v/>
      </c>
      <c r="B640" s="36" t="str">
        <f t="shared" si="55"/>
        <v/>
      </c>
      <c r="C640" s="37" t="str">
        <f t="shared" si="56"/>
        <v/>
      </c>
      <c r="D640" s="38"/>
      <c r="E640" s="38"/>
      <c r="F640" s="39" t="str">
        <f t="shared" si="57"/>
        <v/>
      </c>
      <c r="G640" s="39" t="str">
        <f t="shared" si="58"/>
        <v/>
      </c>
      <c r="H640" s="39" t="str">
        <f t="shared" si="59"/>
        <v/>
      </c>
    </row>
    <row r="641" spans="1:8" x14ac:dyDescent="0.25">
      <c r="A641" s="35" t="str">
        <f t="shared" si="54"/>
        <v/>
      </c>
      <c r="B641" s="36" t="str">
        <f t="shared" si="55"/>
        <v/>
      </c>
      <c r="C641" s="37" t="str">
        <f t="shared" si="56"/>
        <v/>
      </c>
      <c r="D641" s="38"/>
      <c r="E641" s="38"/>
      <c r="F641" s="39" t="str">
        <f t="shared" si="57"/>
        <v/>
      </c>
      <c r="G641" s="39" t="str">
        <f t="shared" si="58"/>
        <v/>
      </c>
      <c r="H641" s="39" t="str">
        <f t="shared" si="59"/>
        <v/>
      </c>
    </row>
    <row r="642" spans="1:8" x14ac:dyDescent="0.25">
      <c r="A642" s="35" t="str">
        <f t="shared" si="54"/>
        <v/>
      </c>
      <c r="B642" s="36" t="str">
        <f t="shared" si="55"/>
        <v/>
      </c>
      <c r="C642" s="37" t="str">
        <f t="shared" si="56"/>
        <v/>
      </c>
      <c r="D642" s="38"/>
      <c r="E642" s="38"/>
      <c r="F642" s="39" t="str">
        <f t="shared" si="57"/>
        <v/>
      </c>
      <c r="G642" s="39" t="str">
        <f t="shared" si="58"/>
        <v/>
      </c>
      <c r="H642" s="39" t="str">
        <f t="shared" si="59"/>
        <v/>
      </c>
    </row>
    <row r="643" spans="1:8" x14ac:dyDescent="0.25">
      <c r="A643" s="35" t="str">
        <f t="shared" si="54"/>
        <v/>
      </c>
      <c r="B643" s="36" t="str">
        <f t="shared" si="55"/>
        <v/>
      </c>
      <c r="C643" s="37" t="str">
        <f t="shared" si="56"/>
        <v/>
      </c>
      <c r="D643" s="38"/>
      <c r="E643" s="38"/>
      <c r="F643" s="39" t="str">
        <f t="shared" si="57"/>
        <v/>
      </c>
      <c r="G643" s="39" t="str">
        <f t="shared" si="58"/>
        <v/>
      </c>
      <c r="H643" s="39" t="str">
        <f t="shared" si="59"/>
        <v/>
      </c>
    </row>
    <row r="644" spans="1:8" x14ac:dyDescent="0.25">
      <c r="A644" s="35" t="str">
        <f t="shared" si="54"/>
        <v/>
      </c>
      <c r="B644" s="36" t="str">
        <f t="shared" si="55"/>
        <v/>
      </c>
      <c r="C644" s="37" t="str">
        <f t="shared" si="56"/>
        <v/>
      </c>
      <c r="D644" s="38"/>
      <c r="E644" s="38"/>
      <c r="F644" s="39" t="str">
        <f t="shared" si="57"/>
        <v/>
      </c>
      <c r="G644" s="39" t="str">
        <f t="shared" si="58"/>
        <v/>
      </c>
      <c r="H644" s="39" t="str">
        <f t="shared" si="59"/>
        <v/>
      </c>
    </row>
    <row r="645" spans="1:8" x14ac:dyDescent="0.25">
      <c r="A645" s="35" t="str">
        <f t="shared" si="54"/>
        <v/>
      </c>
      <c r="B645" s="36" t="str">
        <f t="shared" si="55"/>
        <v/>
      </c>
      <c r="C645" s="37" t="str">
        <f t="shared" si="56"/>
        <v/>
      </c>
      <c r="D645" s="38"/>
      <c r="E645" s="38"/>
      <c r="F645" s="39" t="str">
        <f t="shared" si="57"/>
        <v/>
      </c>
      <c r="G645" s="39" t="str">
        <f t="shared" si="58"/>
        <v/>
      </c>
      <c r="H645" s="39" t="str">
        <f t="shared" si="59"/>
        <v/>
      </c>
    </row>
    <row r="646" spans="1:8" x14ac:dyDescent="0.25">
      <c r="A646" s="35" t="str">
        <f t="shared" si="54"/>
        <v/>
      </c>
      <c r="B646" s="36" t="str">
        <f t="shared" si="55"/>
        <v/>
      </c>
      <c r="C646" s="37" t="str">
        <f t="shared" si="56"/>
        <v/>
      </c>
      <c r="D646" s="38"/>
      <c r="E646" s="38"/>
      <c r="F646" s="39" t="str">
        <f t="shared" si="57"/>
        <v/>
      </c>
      <c r="G646" s="39" t="str">
        <f t="shared" si="58"/>
        <v/>
      </c>
      <c r="H646" s="39" t="str">
        <f t="shared" si="59"/>
        <v/>
      </c>
    </row>
    <row r="647" spans="1:8" x14ac:dyDescent="0.25">
      <c r="A647" s="35" t="str">
        <f t="shared" si="54"/>
        <v/>
      </c>
      <c r="B647" s="36" t="str">
        <f t="shared" si="55"/>
        <v/>
      </c>
      <c r="C647" s="37" t="str">
        <f t="shared" si="56"/>
        <v/>
      </c>
      <c r="D647" s="38"/>
      <c r="E647" s="38"/>
      <c r="F647" s="39" t="str">
        <f t="shared" si="57"/>
        <v/>
      </c>
      <c r="G647" s="39" t="str">
        <f t="shared" si="58"/>
        <v/>
      </c>
      <c r="H647" s="39" t="str">
        <f t="shared" si="59"/>
        <v/>
      </c>
    </row>
    <row r="648" spans="1:8" x14ac:dyDescent="0.25">
      <c r="A648" s="35" t="str">
        <f t="shared" si="54"/>
        <v/>
      </c>
      <c r="B648" s="36" t="str">
        <f t="shared" si="55"/>
        <v/>
      </c>
      <c r="C648" s="37" t="str">
        <f t="shared" si="56"/>
        <v/>
      </c>
      <c r="D648" s="38"/>
      <c r="E648" s="38"/>
      <c r="F648" s="39" t="str">
        <f t="shared" si="57"/>
        <v/>
      </c>
      <c r="G648" s="39" t="str">
        <f t="shared" si="58"/>
        <v/>
      </c>
      <c r="H648" s="39" t="str">
        <f t="shared" si="59"/>
        <v/>
      </c>
    </row>
    <row r="649" spans="1:8" x14ac:dyDescent="0.25">
      <c r="A649" s="35" t="str">
        <f t="shared" si="54"/>
        <v/>
      </c>
      <c r="B649" s="36" t="str">
        <f t="shared" si="55"/>
        <v/>
      </c>
      <c r="C649" s="37" t="str">
        <f t="shared" si="56"/>
        <v/>
      </c>
      <c r="D649" s="38"/>
      <c r="E649" s="38"/>
      <c r="F649" s="39" t="str">
        <f t="shared" si="57"/>
        <v/>
      </c>
      <c r="G649" s="39" t="str">
        <f t="shared" si="58"/>
        <v/>
      </c>
      <c r="H649" s="39" t="str">
        <f t="shared" si="59"/>
        <v/>
      </c>
    </row>
    <row r="650" spans="1:8" x14ac:dyDescent="0.25">
      <c r="A650" s="35" t="str">
        <f t="shared" si="54"/>
        <v/>
      </c>
      <c r="B650" s="36" t="str">
        <f t="shared" si="55"/>
        <v/>
      </c>
      <c r="C650" s="37" t="str">
        <f t="shared" si="56"/>
        <v/>
      </c>
      <c r="D650" s="38"/>
      <c r="E650" s="38"/>
      <c r="F650" s="39" t="str">
        <f t="shared" si="57"/>
        <v/>
      </c>
      <c r="G650" s="39" t="str">
        <f t="shared" si="58"/>
        <v/>
      </c>
      <c r="H650" s="39" t="str">
        <f t="shared" si="59"/>
        <v/>
      </c>
    </row>
    <row r="651" spans="1:8" x14ac:dyDescent="0.25">
      <c r="A651" s="35" t="str">
        <f t="shared" si="54"/>
        <v/>
      </c>
      <c r="B651" s="36" t="str">
        <f t="shared" si="55"/>
        <v/>
      </c>
      <c r="C651" s="37" t="str">
        <f t="shared" si="56"/>
        <v/>
      </c>
      <c r="D651" s="38"/>
      <c r="E651" s="38"/>
      <c r="F651" s="39" t="str">
        <f t="shared" si="57"/>
        <v/>
      </c>
      <c r="G651" s="39" t="str">
        <f t="shared" si="58"/>
        <v/>
      </c>
      <c r="H651" s="39" t="str">
        <f t="shared" si="59"/>
        <v/>
      </c>
    </row>
    <row r="652" spans="1:8" x14ac:dyDescent="0.25">
      <c r="A652" s="35" t="str">
        <f t="shared" si="54"/>
        <v/>
      </c>
      <c r="B652" s="36" t="str">
        <f t="shared" si="55"/>
        <v/>
      </c>
      <c r="C652" s="37" t="str">
        <f t="shared" si="56"/>
        <v/>
      </c>
      <c r="D652" s="38"/>
      <c r="E652" s="38"/>
      <c r="F652" s="39" t="str">
        <f t="shared" si="57"/>
        <v/>
      </c>
      <c r="G652" s="39" t="str">
        <f t="shared" si="58"/>
        <v/>
      </c>
      <c r="H652" s="39" t="str">
        <f t="shared" si="59"/>
        <v/>
      </c>
    </row>
    <row r="653" spans="1:8" x14ac:dyDescent="0.25">
      <c r="A653" s="35" t="str">
        <f t="shared" si="54"/>
        <v/>
      </c>
      <c r="B653" s="36" t="str">
        <f t="shared" si="55"/>
        <v/>
      </c>
      <c r="C653" s="37" t="str">
        <f t="shared" si="56"/>
        <v/>
      </c>
      <c r="D653" s="38"/>
      <c r="E653" s="38"/>
      <c r="F653" s="39" t="str">
        <f t="shared" si="57"/>
        <v/>
      </c>
      <c r="G653" s="39" t="str">
        <f t="shared" si="58"/>
        <v/>
      </c>
      <c r="H653" s="39" t="str">
        <f t="shared" si="59"/>
        <v/>
      </c>
    </row>
    <row r="654" spans="1:8" x14ac:dyDescent="0.25">
      <c r="A654" s="35" t="str">
        <f t="shared" si="54"/>
        <v/>
      </c>
      <c r="B654" s="36" t="str">
        <f t="shared" si="55"/>
        <v/>
      </c>
      <c r="C654" s="37" t="str">
        <f t="shared" si="56"/>
        <v/>
      </c>
      <c r="D654" s="38"/>
      <c r="E654" s="38"/>
      <c r="F654" s="39" t="str">
        <f t="shared" si="57"/>
        <v/>
      </c>
      <c r="G654" s="39" t="str">
        <f t="shared" si="58"/>
        <v/>
      </c>
      <c r="H654" s="39" t="str">
        <f t="shared" si="59"/>
        <v/>
      </c>
    </row>
    <row r="655" spans="1:8" x14ac:dyDescent="0.25">
      <c r="A655" s="35" t="str">
        <f t="shared" si="54"/>
        <v/>
      </c>
      <c r="B655" s="36" t="str">
        <f t="shared" si="55"/>
        <v/>
      </c>
      <c r="C655" s="37" t="str">
        <f t="shared" si="56"/>
        <v/>
      </c>
      <c r="D655" s="38"/>
      <c r="E655" s="38"/>
      <c r="F655" s="39" t="str">
        <f t="shared" si="57"/>
        <v/>
      </c>
      <c r="G655" s="39" t="str">
        <f t="shared" si="58"/>
        <v/>
      </c>
      <c r="H655" s="39" t="str">
        <f t="shared" si="59"/>
        <v/>
      </c>
    </row>
    <row r="656" spans="1:8" x14ac:dyDescent="0.25">
      <c r="A656" s="35" t="str">
        <f t="shared" si="54"/>
        <v/>
      </c>
      <c r="B656" s="36" t="str">
        <f t="shared" si="55"/>
        <v/>
      </c>
      <c r="C656" s="37" t="str">
        <f t="shared" si="56"/>
        <v/>
      </c>
      <c r="D656" s="38"/>
      <c r="E656" s="38"/>
      <c r="F656" s="39" t="str">
        <f t="shared" si="57"/>
        <v/>
      </c>
      <c r="G656" s="39" t="str">
        <f t="shared" si="58"/>
        <v/>
      </c>
      <c r="H656" s="39" t="str">
        <f t="shared" si="59"/>
        <v/>
      </c>
    </row>
    <row r="657" spans="1:8" x14ac:dyDescent="0.25">
      <c r="A657" s="35" t="str">
        <f t="shared" si="54"/>
        <v/>
      </c>
      <c r="B657" s="36" t="str">
        <f t="shared" si="55"/>
        <v/>
      </c>
      <c r="C657" s="37" t="str">
        <f t="shared" si="56"/>
        <v/>
      </c>
      <c r="D657" s="38"/>
      <c r="E657" s="38"/>
      <c r="F657" s="39" t="str">
        <f t="shared" si="57"/>
        <v/>
      </c>
      <c r="G657" s="39" t="str">
        <f t="shared" si="58"/>
        <v/>
      </c>
      <c r="H657" s="39" t="str">
        <f t="shared" si="59"/>
        <v/>
      </c>
    </row>
    <row r="658" spans="1:8" x14ac:dyDescent="0.25">
      <c r="A658" s="35" t="str">
        <f t="shared" si="54"/>
        <v/>
      </c>
      <c r="B658" s="36" t="str">
        <f t="shared" si="55"/>
        <v/>
      </c>
      <c r="C658" s="37" t="str">
        <f t="shared" si="56"/>
        <v/>
      </c>
      <c r="D658" s="38"/>
      <c r="E658" s="38"/>
      <c r="F658" s="39" t="str">
        <f t="shared" si="57"/>
        <v/>
      </c>
      <c r="G658" s="39" t="str">
        <f t="shared" si="58"/>
        <v/>
      </c>
      <c r="H658" s="39" t="str">
        <f t="shared" si="59"/>
        <v/>
      </c>
    </row>
    <row r="659" spans="1:8" x14ac:dyDescent="0.25">
      <c r="A659" s="35" t="str">
        <f t="shared" si="54"/>
        <v/>
      </c>
      <c r="B659" s="36" t="str">
        <f t="shared" si="55"/>
        <v/>
      </c>
      <c r="C659" s="37" t="str">
        <f t="shared" si="56"/>
        <v/>
      </c>
      <c r="D659" s="38"/>
      <c r="E659" s="38"/>
      <c r="F659" s="39" t="str">
        <f t="shared" si="57"/>
        <v/>
      </c>
      <c r="G659" s="39" t="str">
        <f t="shared" si="58"/>
        <v/>
      </c>
      <c r="H659" s="39" t="str">
        <f t="shared" si="59"/>
        <v/>
      </c>
    </row>
    <row r="660" spans="1:8" x14ac:dyDescent="0.25">
      <c r="A660" s="35" t="str">
        <f t="shared" si="54"/>
        <v/>
      </c>
      <c r="B660" s="36" t="str">
        <f t="shared" si="55"/>
        <v/>
      </c>
      <c r="C660" s="37" t="str">
        <f t="shared" si="56"/>
        <v/>
      </c>
      <c r="D660" s="38"/>
      <c r="E660" s="38"/>
      <c r="F660" s="39" t="str">
        <f t="shared" si="57"/>
        <v/>
      </c>
      <c r="G660" s="39" t="str">
        <f t="shared" si="58"/>
        <v/>
      </c>
      <c r="H660" s="39" t="str">
        <f t="shared" si="59"/>
        <v/>
      </c>
    </row>
    <row r="661" spans="1:8" x14ac:dyDescent="0.25">
      <c r="A661" s="35" t="str">
        <f t="shared" si="54"/>
        <v/>
      </c>
      <c r="B661" s="36" t="str">
        <f t="shared" si="55"/>
        <v/>
      </c>
      <c r="C661" s="37" t="str">
        <f t="shared" si="56"/>
        <v/>
      </c>
      <c r="D661" s="38"/>
      <c r="E661" s="38"/>
      <c r="F661" s="39" t="str">
        <f t="shared" si="57"/>
        <v/>
      </c>
      <c r="G661" s="39" t="str">
        <f t="shared" si="58"/>
        <v/>
      </c>
      <c r="H661" s="39" t="str">
        <f t="shared" si="59"/>
        <v/>
      </c>
    </row>
    <row r="662" spans="1:8" x14ac:dyDescent="0.25">
      <c r="A662" s="35" t="str">
        <f t="shared" si="54"/>
        <v/>
      </c>
      <c r="B662" s="36" t="str">
        <f t="shared" si="55"/>
        <v/>
      </c>
      <c r="C662" s="37" t="str">
        <f t="shared" si="56"/>
        <v/>
      </c>
      <c r="D662" s="38"/>
      <c r="E662" s="38"/>
      <c r="F662" s="39" t="str">
        <f t="shared" si="57"/>
        <v/>
      </c>
      <c r="G662" s="39" t="str">
        <f t="shared" si="58"/>
        <v/>
      </c>
      <c r="H662" s="39" t="str">
        <f t="shared" si="59"/>
        <v/>
      </c>
    </row>
    <row r="663" spans="1:8" x14ac:dyDescent="0.25">
      <c r="A663" s="35" t="str">
        <f t="shared" si="54"/>
        <v/>
      </c>
      <c r="B663" s="36" t="str">
        <f t="shared" si="55"/>
        <v/>
      </c>
      <c r="C663" s="37" t="str">
        <f t="shared" si="56"/>
        <v/>
      </c>
      <c r="D663" s="38"/>
      <c r="E663" s="38"/>
      <c r="F663" s="39" t="str">
        <f t="shared" si="57"/>
        <v/>
      </c>
      <c r="G663" s="39" t="str">
        <f t="shared" si="58"/>
        <v/>
      </c>
      <c r="H663" s="39" t="str">
        <f t="shared" si="59"/>
        <v/>
      </c>
    </row>
    <row r="664" spans="1:8" x14ac:dyDescent="0.25">
      <c r="A664" s="35" t="str">
        <f t="shared" si="54"/>
        <v/>
      </c>
      <c r="B664" s="36" t="str">
        <f t="shared" si="55"/>
        <v/>
      </c>
      <c r="C664" s="37" t="str">
        <f t="shared" si="56"/>
        <v/>
      </c>
      <c r="D664" s="38"/>
      <c r="E664" s="38"/>
      <c r="F664" s="39" t="str">
        <f t="shared" si="57"/>
        <v/>
      </c>
      <c r="G664" s="39" t="str">
        <f t="shared" si="58"/>
        <v/>
      </c>
      <c r="H664" s="39" t="str">
        <f t="shared" si="59"/>
        <v/>
      </c>
    </row>
    <row r="665" spans="1:8" x14ac:dyDescent="0.25">
      <c r="A665" s="35" t="str">
        <f t="shared" si="54"/>
        <v/>
      </c>
      <c r="B665" s="36" t="str">
        <f t="shared" si="55"/>
        <v/>
      </c>
      <c r="C665" s="37" t="str">
        <f t="shared" si="56"/>
        <v/>
      </c>
      <c r="D665" s="38"/>
      <c r="E665" s="38"/>
      <c r="F665" s="39" t="str">
        <f t="shared" si="57"/>
        <v/>
      </c>
      <c r="G665" s="39" t="str">
        <f t="shared" si="58"/>
        <v/>
      </c>
      <c r="H665" s="39" t="str">
        <f t="shared" si="59"/>
        <v/>
      </c>
    </row>
    <row r="666" spans="1:8" x14ac:dyDescent="0.25">
      <c r="A666" s="35" t="str">
        <f t="shared" ref="A666:A729" si="60">IF(H665="","",IF(roundOpt,IF(OR(A665&gt;=nPer,ROUND(H665,2)&lt;=0),"",A665+1),IF(OR(A665&gt;=nPer,H665&lt;=0),"",A665+1)))</f>
        <v/>
      </c>
      <c r="B666" s="36" t="str">
        <f t="shared" ref="B666:B729" si="61">IF(A666="","",IF(OR(periods_per_year=26,periods_per_year=52),IF(periods_per_year=26,IF(A666=1,beginDate,B665+14),IF(periods_per_year=52,IF(A666=1,beginDate,B665+7),"n/a")),IF(periods_per_year=24,DATE(YEAR(beginDate),MONTH(beginDate)+(A666-1)/2+IF(AND(DAY(beginDate)&gt;=15,MOD(A666,2)=0),1,0),IF(MOD(A666,2)=0,IF(DAY(beginDate)&gt;=15,DAY(beginDate)-14,DAY(beginDate)+14),DAY(beginDate))),IF(DAY(DATE(YEAR(beginDate),MONTH(beginDate)+(A666-1)*monthsPerPeriod,DAY(beginDate)))&lt;&gt;DAY(beginDate),DATE(YEAR(beginDate),MONTH(beginDate)+(A666-1)*monthsPerPeriod+1,0),DATE(YEAR(beginDate),MONTH(beginDate)+(A666-1)*monthsPerPeriod,DAY(beginDate))))))</f>
        <v/>
      </c>
      <c r="C666" s="37" t="str">
        <f t="shared" ref="C666:C729" si="62">IF(A666="","",IF(roundOpt,IF(OR(A666=nPer,payment&gt;ROUND((1+rate)*H665,2)),ROUND((1+rate)*H665,2),payment),IF(OR(A666=nPer,payment&gt;(1+rate)*H665),(1+rate)*H665,payment)))</f>
        <v/>
      </c>
      <c r="D666" s="38"/>
      <c r="E666" s="38"/>
      <c r="F666" s="39" t="str">
        <f t="shared" ref="F666:F729" si="63">IF(A666="","",IF(AND(A666=1,pmtType=1),0,IF(roundOpt,ROUND(rate*H665,2),rate*H665)))</f>
        <v/>
      </c>
      <c r="G666" s="39" t="str">
        <f t="shared" ref="G666:G729" si="64">IF(A666="","",C666-F666+D666)</f>
        <v/>
      </c>
      <c r="H666" s="39" t="str">
        <f t="shared" ref="H666:H729" si="65">IF(A666="","",H665-G666)</f>
        <v/>
      </c>
    </row>
    <row r="667" spans="1:8" x14ac:dyDescent="0.25">
      <c r="A667" s="35" t="str">
        <f t="shared" si="60"/>
        <v/>
      </c>
      <c r="B667" s="36" t="str">
        <f t="shared" si="61"/>
        <v/>
      </c>
      <c r="C667" s="37" t="str">
        <f t="shared" si="62"/>
        <v/>
      </c>
      <c r="D667" s="38"/>
      <c r="E667" s="38"/>
      <c r="F667" s="39" t="str">
        <f t="shared" si="63"/>
        <v/>
      </c>
      <c r="G667" s="39" t="str">
        <f t="shared" si="64"/>
        <v/>
      </c>
      <c r="H667" s="39" t="str">
        <f t="shared" si="65"/>
        <v/>
      </c>
    </row>
    <row r="668" spans="1:8" x14ac:dyDescent="0.25">
      <c r="A668" s="35" t="str">
        <f t="shared" si="60"/>
        <v/>
      </c>
      <c r="B668" s="36" t="str">
        <f t="shared" si="61"/>
        <v/>
      </c>
      <c r="C668" s="37" t="str">
        <f t="shared" si="62"/>
        <v/>
      </c>
      <c r="D668" s="38"/>
      <c r="E668" s="38"/>
      <c r="F668" s="39" t="str">
        <f t="shared" si="63"/>
        <v/>
      </c>
      <c r="G668" s="39" t="str">
        <f t="shared" si="64"/>
        <v/>
      </c>
      <c r="H668" s="39" t="str">
        <f t="shared" si="65"/>
        <v/>
      </c>
    </row>
    <row r="669" spans="1:8" x14ac:dyDescent="0.25">
      <c r="A669" s="35" t="str">
        <f t="shared" si="60"/>
        <v/>
      </c>
      <c r="B669" s="36" t="str">
        <f t="shared" si="61"/>
        <v/>
      </c>
      <c r="C669" s="37" t="str">
        <f t="shared" si="62"/>
        <v/>
      </c>
      <c r="D669" s="38"/>
      <c r="E669" s="38"/>
      <c r="F669" s="39" t="str">
        <f t="shared" si="63"/>
        <v/>
      </c>
      <c r="G669" s="39" t="str">
        <f t="shared" si="64"/>
        <v/>
      </c>
      <c r="H669" s="39" t="str">
        <f t="shared" si="65"/>
        <v/>
      </c>
    </row>
    <row r="670" spans="1:8" x14ac:dyDescent="0.25">
      <c r="A670" s="35" t="str">
        <f t="shared" si="60"/>
        <v/>
      </c>
      <c r="B670" s="36" t="str">
        <f t="shared" si="61"/>
        <v/>
      </c>
      <c r="C670" s="37" t="str">
        <f t="shared" si="62"/>
        <v/>
      </c>
      <c r="D670" s="38"/>
      <c r="E670" s="38"/>
      <c r="F670" s="39" t="str">
        <f t="shared" si="63"/>
        <v/>
      </c>
      <c r="G670" s="39" t="str">
        <f t="shared" si="64"/>
        <v/>
      </c>
      <c r="H670" s="39" t="str">
        <f t="shared" si="65"/>
        <v/>
      </c>
    </row>
    <row r="671" spans="1:8" x14ac:dyDescent="0.25">
      <c r="A671" s="35" t="str">
        <f t="shared" si="60"/>
        <v/>
      </c>
      <c r="B671" s="36" t="str">
        <f t="shared" si="61"/>
        <v/>
      </c>
      <c r="C671" s="37" t="str">
        <f t="shared" si="62"/>
        <v/>
      </c>
      <c r="D671" s="38"/>
      <c r="E671" s="38"/>
      <c r="F671" s="39" t="str">
        <f t="shared" si="63"/>
        <v/>
      </c>
      <c r="G671" s="39" t="str">
        <f t="shared" si="64"/>
        <v/>
      </c>
      <c r="H671" s="39" t="str">
        <f t="shared" si="65"/>
        <v/>
      </c>
    </row>
    <row r="672" spans="1:8" x14ac:dyDescent="0.25">
      <c r="A672" s="35" t="str">
        <f t="shared" si="60"/>
        <v/>
      </c>
      <c r="B672" s="36" t="str">
        <f t="shared" si="61"/>
        <v/>
      </c>
      <c r="C672" s="37" t="str">
        <f t="shared" si="62"/>
        <v/>
      </c>
      <c r="D672" s="38"/>
      <c r="E672" s="38"/>
      <c r="F672" s="39" t="str">
        <f t="shared" si="63"/>
        <v/>
      </c>
      <c r="G672" s="39" t="str">
        <f t="shared" si="64"/>
        <v/>
      </c>
      <c r="H672" s="39" t="str">
        <f t="shared" si="65"/>
        <v/>
      </c>
    </row>
    <row r="673" spans="1:8" x14ac:dyDescent="0.25">
      <c r="A673" s="35" t="str">
        <f t="shared" si="60"/>
        <v/>
      </c>
      <c r="B673" s="36" t="str">
        <f t="shared" si="61"/>
        <v/>
      </c>
      <c r="C673" s="37" t="str">
        <f t="shared" si="62"/>
        <v/>
      </c>
      <c r="D673" s="38"/>
      <c r="E673" s="38"/>
      <c r="F673" s="39" t="str">
        <f t="shared" si="63"/>
        <v/>
      </c>
      <c r="G673" s="39" t="str">
        <f t="shared" si="64"/>
        <v/>
      </c>
      <c r="H673" s="39" t="str">
        <f t="shared" si="65"/>
        <v/>
      </c>
    </row>
    <row r="674" spans="1:8" x14ac:dyDescent="0.25">
      <c r="A674" s="35" t="str">
        <f t="shared" si="60"/>
        <v/>
      </c>
      <c r="B674" s="36" t="str">
        <f t="shared" si="61"/>
        <v/>
      </c>
      <c r="C674" s="37" t="str">
        <f t="shared" si="62"/>
        <v/>
      </c>
      <c r="D674" s="38"/>
      <c r="E674" s="38"/>
      <c r="F674" s="39" t="str">
        <f t="shared" si="63"/>
        <v/>
      </c>
      <c r="G674" s="39" t="str">
        <f t="shared" si="64"/>
        <v/>
      </c>
      <c r="H674" s="39" t="str">
        <f t="shared" si="65"/>
        <v/>
      </c>
    </row>
    <row r="675" spans="1:8" x14ac:dyDescent="0.25">
      <c r="A675" s="35" t="str">
        <f t="shared" si="60"/>
        <v/>
      </c>
      <c r="B675" s="36" t="str">
        <f t="shared" si="61"/>
        <v/>
      </c>
      <c r="C675" s="37" t="str">
        <f t="shared" si="62"/>
        <v/>
      </c>
      <c r="D675" s="38"/>
      <c r="E675" s="38"/>
      <c r="F675" s="39" t="str">
        <f t="shared" si="63"/>
        <v/>
      </c>
      <c r="G675" s="39" t="str">
        <f t="shared" si="64"/>
        <v/>
      </c>
      <c r="H675" s="39" t="str">
        <f t="shared" si="65"/>
        <v/>
      </c>
    </row>
    <row r="676" spans="1:8" x14ac:dyDescent="0.25">
      <c r="A676" s="35" t="str">
        <f t="shared" si="60"/>
        <v/>
      </c>
      <c r="B676" s="36" t="str">
        <f t="shared" si="61"/>
        <v/>
      </c>
      <c r="C676" s="37" t="str">
        <f t="shared" si="62"/>
        <v/>
      </c>
      <c r="D676" s="38"/>
      <c r="E676" s="38"/>
      <c r="F676" s="39" t="str">
        <f t="shared" si="63"/>
        <v/>
      </c>
      <c r="G676" s="39" t="str">
        <f t="shared" si="64"/>
        <v/>
      </c>
      <c r="H676" s="39" t="str">
        <f t="shared" si="65"/>
        <v/>
      </c>
    </row>
    <row r="677" spans="1:8" x14ac:dyDescent="0.25">
      <c r="A677" s="35" t="str">
        <f t="shared" si="60"/>
        <v/>
      </c>
      <c r="B677" s="36" t="str">
        <f t="shared" si="61"/>
        <v/>
      </c>
      <c r="C677" s="37" t="str">
        <f t="shared" si="62"/>
        <v/>
      </c>
      <c r="D677" s="38"/>
      <c r="E677" s="38"/>
      <c r="F677" s="39" t="str">
        <f t="shared" si="63"/>
        <v/>
      </c>
      <c r="G677" s="39" t="str">
        <f t="shared" si="64"/>
        <v/>
      </c>
      <c r="H677" s="39" t="str">
        <f t="shared" si="65"/>
        <v/>
      </c>
    </row>
    <row r="678" spans="1:8" x14ac:dyDescent="0.25">
      <c r="A678" s="35" t="str">
        <f t="shared" si="60"/>
        <v/>
      </c>
      <c r="B678" s="36" t="str">
        <f t="shared" si="61"/>
        <v/>
      </c>
      <c r="C678" s="37" t="str">
        <f t="shared" si="62"/>
        <v/>
      </c>
      <c r="D678" s="38"/>
      <c r="E678" s="38"/>
      <c r="F678" s="39" t="str">
        <f t="shared" si="63"/>
        <v/>
      </c>
      <c r="G678" s="39" t="str">
        <f t="shared" si="64"/>
        <v/>
      </c>
      <c r="H678" s="39" t="str">
        <f t="shared" si="65"/>
        <v/>
      </c>
    </row>
    <row r="679" spans="1:8" x14ac:dyDescent="0.25">
      <c r="A679" s="35" t="str">
        <f t="shared" si="60"/>
        <v/>
      </c>
      <c r="B679" s="36" t="str">
        <f t="shared" si="61"/>
        <v/>
      </c>
      <c r="C679" s="37" t="str">
        <f t="shared" si="62"/>
        <v/>
      </c>
      <c r="D679" s="38"/>
      <c r="E679" s="38"/>
      <c r="F679" s="39" t="str">
        <f t="shared" si="63"/>
        <v/>
      </c>
      <c r="G679" s="39" t="str">
        <f t="shared" si="64"/>
        <v/>
      </c>
      <c r="H679" s="39" t="str">
        <f t="shared" si="65"/>
        <v/>
      </c>
    </row>
    <row r="680" spans="1:8" x14ac:dyDescent="0.25">
      <c r="A680" s="35" t="str">
        <f t="shared" si="60"/>
        <v/>
      </c>
      <c r="B680" s="36" t="str">
        <f t="shared" si="61"/>
        <v/>
      </c>
      <c r="C680" s="37" t="str">
        <f t="shared" si="62"/>
        <v/>
      </c>
      <c r="D680" s="38"/>
      <c r="E680" s="38"/>
      <c r="F680" s="39" t="str">
        <f t="shared" si="63"/>
        <v/>
      </c>
      <c r="G680" s="39" t="str">
        <f t="shared" si="64"/>
        <v/>
      </c>
      <c r="H680" s="39" t="str">
        <f t="shared" si="65"/>
        <v/>
      </c>
    </row>
    <row r="681" spans="1:8" x14ac:dyDescent="0.25">
      <c r="A681" s="35" t="str">
        <f t="shared" si="60"/>
        <v/>
      </c>
      <c r="B681" s="36" t="str">
        <f t="shared" si="61"/>
        <v/>
      </c>
      <c r="C681" s="37" t="str">
        <f t="shared" si="62"/>
        <v/>
      </c>
      <c r="D681" s="38"/>
      <c r="E681" s="38"/>
      <c r="F681" s="39" t="str">
        <f t="shared" si="63"/>
        <v/>
      </c>
      <c r="G681" s="39" t="str">
        <f t="shared" si="64"/>
        <v/>
      </c>
      <c r="H681" s="39" t="str">
        <f t="shared" si="65"/>
        <v/>
      </c>
    </row>
    <row r="682" spans="1:8" x14ac:dyDescent="0.25">
      <c r="A682" s="35" t="str">
        <f t="shared" si="60"/>
        <v/>
      </c>
      <c r="B682" s="36" t="str">
        <f t="shared" si="61"/>
        <v/>
      </c>
      <c r="C682" s="37" t="str">
        <f t="shared" si="62"/>
        <v/>
      </c>
      <c r="D682" s="38"/>
      <c r="E682" s="38"/>
      <c r="F682" s="39" t="str">
        <f t="shared" si="63"/>
        <v/>
      </c>
      <c r="G682" s="39" t="str">
        <f t="shared" si="64"/>
        <v/>
      </c>
      <c r="H682" s="39" t="str">
        <f t="shared" si="65"/>
        <v/>
      </c>
    </row>
    <row r="683" spans="1:8" x14ac:dyDescent="0.25">
      <c r="A683" s="35" t="str">
        <f t="shared" si="60"/>
        <v/>
      </c>
      <c r="B683" s="36" t="str">
        <f t="shared" si="61"/>
        <v/>
      </c>
      <c r="C683" s="37" t="str">
        <f t="shared" si="62"/>
        <v/>
      </c>
      <c r="D683" s="38"/>
      <c r="E683" s="38"/>
      <c r="F683" s="39" t="str">
        <f t="shared" si="63"/>
        <v/>
      </c>
      <c r="G683" s="39" t="str">
        <f t="shared" si="64"/>
        <v/>
      </c>
      <c r="H683" s="39" t="str">
        <f t="shared" si="65"/>
        <v/>
      </c>
    </row>
    <row r="684" spans="1:8" x14ac:dyDescent="0.25">
      <c r="A684" s="35" t="str">
        <f t="shared" si="60"/>
        <v/>
      </c>
      <c r="B684" s="36" t="str">
        <f t="shared" si="61"/>
        <v/>
      </c>
      <c r="C684" s="37" t="str">
        <f t="shared" si="62"/>
        <v/>
      </c>
      <c r="D684" s="38"/>
      <c r="E684" s="38"/>
      <c r="F684" s="39" t="str">
        <f t="shared" si="63"/>
        <v/>
      </c>
      <c r="G684" s="39" t="str">
        <f t="shared" si="64"/>
        <v/>
      </c>
      <c r="H684" s="39" t="str">
        <f t="shared" si="65"/>
        <v/>
      </c>
    </row>
    <row r="685" spans="1:8" x14ac:dyDescent="0.25">
      <c r="A685" s="35" t="str">
        <f t="shared" si="60"/>
        <v/>
      </c>
      <c r="B685" s="36" t="str">
        <f t="shared" si="61"/>
        <v/>
      </c>
      <c r="C685" s="37" t="str">
        <f t="shared" si="62"/>
        <v/>
      </c>
      <c r="D685" s="38"/>
      <c r="E685" s="38"/>
      <c r="F685" s="39" t="str">
        <f t="shared" si="63"/>
        <v/>
      </c>
      <c r="G685" s="39" t="str">
        <f t="shared" si="64"/>
        <v/>
      </c>
      <c r="H685" s="39" t="str">
        <f t="shared" si="65"/>
        <v/>
      </c>
    </row>
    <row r="686" spans="1:8" x14ac:dyDescent="0.25">
      <c r="A686" s="35" t="str">
        <f t="shared" si="60"/>
        <v/>
      </c>
      <c r="B686" s="36" t="str">
        <f t="shared" si="61"/>
        <v/>
      </c>
      <c r="C686" s="37" t="str">
        <f t="shared" si="62"/>
        <v/>
      </c>
      <c r="D686" s="38"/>
      <c r="E686" s="38"/>
      <c r="F686" s="39" t="str">
        <f t="shared" si="63"/>
        <v/>
      </c>
      <c r="G686" s="39" t="str">
        <f t="shared" si="64"/>
        <v/>
      </c>
      <c r="H686" s="39" t="str">
        <f t="shared" si="65"/>
        <v/>
      </c>
    </row>
    <row r="687" spans="1:8" x14ac:dyDescent="0.25">
      <c r="A687" s="35" t="str">
        <f t="shared" si="60"/>
        <v/>
      </c>
      <c r="B687" s="36" t="str">
        <f t="shared" si="61"/>
        <v/>
      </c>
      <c r="C687" s="37" t="str">
        <f t="shared" si="62"/>
        <v/>
      </c>
      <c r="D687" s="38"/>
      <c r="E687" s="38"/>
      <c r="F687" s="39" t="str">
        <f t="shared" si="63"/>
        <v/>
      </c>
      <c r="G687" s="39" t="str">
        <f t="shared" si="64"/>
        <v/>
      </c>
      <c r="H687" s="39" t="str">
        <f t="shared" si="65"/>
        <v/>
      </c>
    </row>
    <row r="688" spans="1:8" x14ac:dyDescent="0.25">
      <c r="A688" s="35" t="str">
        <f t="shared" si="60"/>
        <v/>
      </c>
      <c r="B688" s="36" t="str">
        <f t="shared" si="61"/>
        <v/>
      </c>
      <c r="C688" s="37" t="str">
        <f t="shared" si="62"/>
        <v/>
      </c>
      <c r="D688" s="38"/>
      <c r="E688" s="38"/>
      <c r="F688" s="39" t="str">
        <f t="shared" si="63"/>
        <v/>
      </c>
      <c r="G688" s="39" t="str">
        <f t="shared" si="64"/>
        <v/>
      </c>
      <c r="H688" s="39" t="str">
        <f t="shared" si="65"/>
        <v/>
      </c>
    </row>
    <row r="689" spans="1:8" x14ac:dyDescent="0.25">
      <c r="A689" s="35" t="str">
        <f t="shared" si="60"/>
        <v/>
      </c>
      <c r="B689" s="36" t="str">
        <f t="shared" si="61"/>
        <v/>
      </c>
      <c r="C689" s="37" t="str">
        <f t="shared" si="62"/>
        <v/>
      </c>
      <c r="D689" s="38"/>
      <c r="E689" s="38"/>
      <c r="F689" s="39" t="str">
        <f t="shared" si="63"/>
        <v/>
      </c>
      <c r="G689" s="39" t="str">
        <f t="shared" si="64"/>
        <v/>
      </c>
      <c r="H689" s="39" t="str">
        <f t="shared" si="65"/>
        <v/>
      </c>
    </row>
    <row r="690" spans="1:8" x14ac:dyDescent="0.25">
      <c r="A690" s="35" t="str">
        <f t="shared" si="60"/>
        <v/>
      </c>
      <c r="B690" s="36" t="str">
        <f t="shared" si="61"/>
        <v/>
      </c>
      <c r="C690" s="37" t="str">
        <f t="shared" si="62"/>
        <v/>
      </c>
      <c r="D690" s="38"/>
      <c r="E690" s="38"/>
      <c r="F690" s="39" t="str">
        <f t="shared" si="63"/>
        <v/>
      </c>
      <c r="G690" s="39" t="str">
        <f t="shared" si="64"/>
        <v/>
      </c>
      <c r="H690" s="39" t="str">
        <f t="shared" si="65"/>
        <v/>
      </c>
    </row>
    <row r="691" spans="1:8" x14ac:dyDescent="0.25">
      <c r="A691" s="35" t="str">
        <f t="shared" si="60"/>
        <v/>
      </c>
      <c r="B691" s="36" t="str">
        <f t="shared" si="61"/>
        <v/>
      </c>
      <c r="C691" s="37" t="str">
        <f t="shared" si="62"/>
        <v/>
      </c>
      <c r="D691" s="38"/>
      <c r="E691" s="38"/>
      <c r="F691" s="39" t="str">
        <f t="shared" si="63"/>
        <v/>
      </c>
      <c r="G691" s="39" t="str">
        <f t="shared" si="64"/>
        <v/>
      </c>
      <c r="H691" s="39" t="str">
        <f t="shared" si="65"/>
        <v/>
      </c>
    </row>
    <row r="692" spans="1:8" x14ac:dyDescent="0.25">
      <c r="A692" s="35" t="str">
        <f t="shared" si="60"/>
        <v/>
      </c>
      <c r="B692" s="36" t="str">
        <f t="shared" si="61"/>
        <v/>
      </c>
      <c r="C692" s="37" t="str">
        <f t="shared" si="62"/>
        <v/>
      </c>
      <c r="D692" s="38"/>
      <c r="E692" s="38"/>
      <c r="F692" s="39" t="str">
        <f t="shared" si="63"/>
        <v/>
      </c>
      <c r="G692" s="39" t="str">
        <f t="shared" si="64"/>
        <v/>
      </c>
      <c r="H692" s="39" t="str">
        <f t="shared" si="65"/>
        <v/>
      </c>
    </row>
    <row r="693" spans="1:8" x14ac:dyDescent="0.25">
      <c r="A693" s="35" t="str">
        <f t="shared" si="60"/>
        <v/>
      </c>
      <c r="B693" s="36" t="str">
        <f t="shared" si="61"/>
        <v/>
      </c>
      <c r="C693" s="37" t="str">
        <f t="shared" si="62"/>
        <v/>
      </c>
      <c r="D693" s="38"/>
      <c r="E693" s="38"/>
      <c r="F693" s="39" t="str">
        <f t="shared" si="63"/>
        <v/>
      </c>
      <c r="G693" s="39" t="str">
        <f t="shared" si="64"/>
        <v/>
      </c>
      <c r="H693" s="39" t="str">
        <f t="shared" si="65"/>
        <v/>
      </c>
    </row>
    <row r="694" spans="1:8" x14ac:dyDescent="0.25">
      <c r="A694" s="35" t="str">
        <f t="shared" si="60"/>
        <v/>
      </c>
      <c r="B694" s="36" t="str">
        <f t="shared" si="61"/>
        <v/>
      </c>
      <c r="C694" s="37" t="str">
        <f t="shared" si="62"/>
        <v/>
      </c>
      <c r="D694" s="38"/>
      <c r="E694" s="38"/>
      <c r="F694" s="39" t="str">
        <f t="shared" si="63"/>
        <v/>
      </c>
      <c r="G694" s="39" t="str">
        <f t="shared" si="64"/>
        <v/>
      </c>
      <c r="H694" s="39" t="str">
        <f t="shared" si="65"/>
        <v/>
      </c>
    </row>
    <row r="695" spans="1:8" x14ac:dyDescent="0.25">
      <c r="A695" s="35" t="str">
        <f t="shared" si="60"/>
        <v/>
      </c>
      <c r="B695" s="36" t="str">
        <f t="shared" si="61"/>
        <v/>
      </c>
      <c r="C695" s="37" t="str">
        <f t="shared" si="62"/>
        <v/>
      </c>
      <c r="D695" s="38"/>
      <c r="E695" s="38"/>
      <c r="F695" s="39" t="str">
        <f t="shared" si="63"/>
        <v/>
      </c>
      <c r="G695" s="39" t="str">
        <f t="shared" si="64"/>
        <v/>
      </c>
      <c r="H695" s="39" t="str">
        <f t="shared" si="65"/>
        <v/>
      </c>
    </row>
    <row r="696" spans="1:8" x14ac:dyDescent="0.25">
      <c r="A696" s="35" t="str">
        <f t="shared" si="60"/>
        <v/>
      </c>
      <c r="B696" s="36" t="str">
        <f t="shared" si="61"/>
        <v/>
      </c>
      <c r="C696" s="37" t="str">
        <f t="shared" si="62"/>
        <v/>
      </c>
      <c r="D696" s="38"/>
      <c r="E696" s="38"/>
      <c r="F696" s="39" t="str">
        <f t="shared" si="63"/>
        <v/>
      </c>
      <c r="G696" s="39" t="str">
        <f t="shared" si="64"/>
        <v/>
      </c>
      <c r="H696" s="39" t="str">
        <f t="shared" si="65"/>
        <v/>
      </c>
    </row>
    <row r="697" spans="1:8" x14ac:dyDescent="0.25">
      <c r="A697" s="35" t="str">
        <f t="shared" si="60"/>
        <v/>
      </c>
      <c r="B697" s="36" t="str">
        <f t="shared" si="61"/>
        <v/>
      </c>
      <c r="C697" s="37" t="str">
        <f t="shared" si="62"/>
        <v/>
      </c>
      <c r="D697" s="38"/>
      <c r="E697" s="38"/>
      <c r="F697" s="39" t="str">
        <f t="shared" si="63"/>
        <v/>
      </c>
      <c r="G697" s="39" t="str">
        <f t="shared" si="64"/>
        <v/>
      </c>
      <c r="H697" s="39" t="str">
        <f t="shared" si="65"/>
        <v/>
      </c>
    </row>
    <row r="698" spans="1:8" x14ac:dyDescent="0.25">
      <c r="A698" s="35" t="str">
        <f t="shared" si="60"/>
        <v/>
      </c>
      <c r="B698" s="36" t="str">
        <f t="shared" si="61"/>
        <v/>
      </c>
      <c r="C698" s="37" t="str">
        <f t="shared" si="62"/>
        <v/>
      </c>
      <c r="D698" s="38"/>
      <c r="E698" s="38"/>
      <c r="F698" s="39" t="str">
        <f t="shared" si="63"/>
        <v/>
      </c>
      <c r="G698" s="39" t="str">
        <f t="shared" si="64"/>
        <v/>
      </c>
      <c r="H698" s="39" t="str">
        <f t="shared" si="65"/>
        <v/>
      </c>
    </row>
    <row r="699" spans="1:8" x14ac:dyDescent="0.25">
      <c r="A699" s="35" t="str">
        <f t="shared" si="60"/>
        <v/>
      </c>
      <c r="B699" s="36" t="str">
        <f t="shared" si="61"/>
        <v/>
      </c>
      <c r="C699" s="37" t="str">
        <f t="shared" si="62"/>
        <v/>
      </c>
      <c r="D699" s="38"/>
      <c r="E699" s="38"/>
      <c r="F699" s="39" t="str">
        <f t="shared" si="63"/>
        <v/>
      </c>
      <c r="G699" s="39" t="str">
        <f t="shared" si="64"/>
        <v/>
      </c>
      <c r="H699" s="39" t="str">
        <f t="shared" si="65"/>
        <v/>
      </c>
    </row>
    <row r="700" spans="1:8" x14ac:dyDescent="0.25">
      <c r="A700" s="35" t="str">
        <f t="shared" si="60"/>
        <v/>
      </c>
      <c r="B700" s="36" t="str">
        <f t="shared" si="61"/>
        <v/>
      </c>
      <c r="C700" s="37" t="str">
        <f t="shared" si="62"/>
        <v/>
      </c>
      <c r="D700" s="38"/>
      <c r="E700" s="38"/>
      <c r="F700" s="39" t="str">
        <f t="shared" si="63"/>
        <v/>
      </c>
      <c r="G700" s="39" t="str">
        <f t="shared" si="64"/>
        <v/>
      </c>
      <c r="H700" s="39" t="str">
        <f t="shared" si="65"/>
        <v/>
      </c>
    </row>
    <row r="701" spans="1:8" x14ac:dyDescent="0.25">
      <c r="A701" s="35" t="str">
        <f t="shared" si="60"/>
        <v/>
      </c>
      <c r="B701" s="36" t="str">
        <f t="shared" si="61"/>
        <v/>
      </c>
      <c r="C701" s="37" t="str">
        <f t="shared" si="62"/>
        <v/>
      </c>
      <c r="D701" s="38"/>
      <c r="E701" s="38"/>
      <c r="F701" s="39" t="str">
        <f t="shared" si="63"/>
        <v/>
      </c>
      <c r="G701" s="39" t="str">
        <f t="shared" si="64"/>
        <v/>
      </c>
      <c r="H701" s="39" t="str">
        <f t="shared" si="65"/>
        <v/>
      </c>
    </row>
    <row r="702" spans="1:8" x14ac:dyDescent="0.25">
      <c r="A702" s="35" t="str">
        <f t="shared" si="60"/>
        <v/>
      </c>
      <c r="B702" s="36" t="str">
        <f t="shared" si="61"/>
        <v/>
      </c>
      <c r="C702" s="37" t="str">
        <f t="shared" si="62"/>
        <v/>
      </c>
      <c r="D702" s="38"/>
      <c r="E702" s="38"/>
      <c r="F702" s="39" t="str">
        <f t="shared" si="63"/>
        <v/>
      </c>
      <c r="G702" s="39" t="str">
        <f t="shared" si="64"/>
        <v/>
      </c>
      <c r="H702" s="39" t="str">
        <f t="shared" si="65"/>
        <v/>
      </c>
    </row>
    <row r="703" spans="1:8" x14ac:dyDescent="0.25">
      <c r="A703" s="35" t="str">
        <f t="shared" si="60"/>
        <v/>
      </c>
      <c r="B703" s="36" t="str">
        <f t="shared" si="61"/>
        <v/>
      </c>
      <c r="C703" s="37" t="str">
        <f t="shared" si="62"/>
        <v/>
      </c>
      <c r="D703" s="38"/>
      <c r="E703" s="38"/>
      <c r="F703" s="39" t="str">
        <f t="shared" si="63"/>
        <v/>
      </c>
      <c r="G703" s="39" t="str">
        <f t="shared" si="64"/>
        <v/>
      </c>
      <c r="H703" s="39" t="str">
        <f t="shared" si="65"/>
        <v/>
      </c>
    </row>
    <row r="704" spans="1:8" x14ac:dyDescent="0.25">
      <c r="A704" s="35" t="str">
        <f t="shared" si="60"/>
        <v/>
      </c>
      <c r="B704" s="36" t="str">
        <f t="shared" si="61"/>
        <v/>
      </c>
      <c r="C704" s="37" t="str">
        <f t="shared" si="62"/>
        <v/>
      </c>
      <c r="D704" s="38"/>
      <c r="E704" s="38"/>
      <c r="F704" s="39" t="str">
        <f t="shared" si="63"/>
        <v/>
      </c>
      <c r="G704" s="39" t="str">
        <f t="shared" si="64"/>
        <v/>
      </c>
      <c r="H704" s="39" t="str">
        <f t="shared" si="65"/>
        <v/>
      </c>
    </row>
    <row r="705" spans="1:8" x14ac:dyDescent="0.25">
      <c r="A705" s="35" t="str">
        <f t="shared" si="60"/>
        <v/>
      </c>
      <c r="B705" s="36" t="str">
        <f t="shared" si="61"/>
        <v/>
      </c>
      <c r="C705" s="37" t="str">
        <f t="shared" si="62"/>
        <v/>
      </c>
      <c r="D705" s="38"/>
      <c r="E705" s="38"/>
      <c r="F705" s="39" t="str">
        <f t="shared" si="63"/>
        <v/>
      </c>
      <c r="G705" s="39" t="str">
        <f t="shared" si="64"/>
        <v/>
      </c>
      <c r="H705" s="39" t="str">
        <f t="shared" si="65"/>
        <v/>
      </c>
    </row>
    <row r="706" spans="1:8" x14ac:dyDescent="0.25">
      <c r="A706" s="35" t="str">
        <f t="shared" si="60"/>
        <v/>
      </c>
      <c r="B706" s="36" t="str">
        <f t="shared" si="61"/>
        <v/>
      </c>
      <c r="C706" s="37" t="str">
        <f t="shared" si="62"/>
        <v/>
      </c>
      <c r="D706" s="38"/>
      <c r="E706" s="38"/>
      <c r="F706" s="39" t="str">
        <f t="shared" si="63"/>
        <v/>
      </c>
      <c r="G706" s="39" t="str">
        <f t="shared" si="64"/>
        <v/>
      </c>
      <c r="H706" s="39" t="str">
        <f t="shared" si="65"/>
        <v/>
      </c>
    </row>
    <row r="707" spans="1:8" x14ac:dyDescent="0.25">
      <c r="A707" s="35" t="str">
        <f t="shared" si="60"/>
        <v/>
      </c>
      <c r="B707" s="36" t="str">
        <f t="shared" si="61"/>
        <v/>
      </c>
      <c r="C707" s="37" t="str">
        <f t="shared" si="62"/>
        <v/>
      </c>
      <c r="D707" s="38"/>
      <c r="E707" s="38"/>
      <c r="F707" s="39" t="str">
        <f t="shared" si="63"/>
        <v/>
      </c>
      <c r="G707" s="39" t="str">
        <f t="shared" si="64"/>
        <v/>
      </c>
      <c r="H707" s="39" t="str">
        <f t="shared" si="65"/>
        <v/>
      </c>
    </row>
    <row r="708" spans="1:8" x14ac:dyDescent="0.25">
      <c r="A708" s="35" t="str">
        <f t="shared" si="60"/>
        <v/>
      </c>
      <c r="B708" s="36" t="str">
        <f t="shared" si="61"/>
        <v/>
      </c>
      <c r="C708" s="37" t="str">
        <f t="shared" si="62"/>
        <v/>
      </c>
      <c r="D708" s="38"/>
      <c r="E708" s="38"/>
      <c r="F708" s="39" t="str">
        <f t="shared" si="63"/>
        <v/>
      </c>
      <c r="G708" s="39" t="str">
        <f t="shared" si="64"/>
        <v/>
      </c>
      <c r="H708" s="39" t="str">
        <f t="shared" si="65"/>
        <v/>
      </c>
    </row>
    <row r="709" spans="1:8" x14ac:dyDescent="0.25">
      <c r="A709" s="35" t="str">
        <f t="shared" si="60"/>
        <v/>
      </c>
      <c r="B709" s="36" t="str">
        <f t="shared" si="61"/>
        <v/>
      </c>
      <c r="C709" s="37" t="str">
        <f t="shared" si="62"/>
        <v/>
      </c>
      <c r="D709" s="38"/>
      <c r="E709" s="38"/>
      <c r="F709" s="39" t="str">
        <f t="shared" si="63"/>
        <v/>
      </c>
      <c r="G709" s="39" t="str">
        <f t="shared" si="64"/>
        <v/>
      </c>
      <c r="H709" s="39" t="str">
        <f t="shared" si="65"/>
        <v/>
      </c>
    </row>
    <row r="710" spans="1:8" x14ac:dyDescent="0.25">
      <c r="A710" s="35" t="str">
        <f t="shared" si="60"/>
        <v/>
      </c>
      <c r="B710" s="36" t="str">
        <f t="shared" si="61"/>
        <v/>
      </c>
      <c r="C710" s="37" t="str">
        <f t="shared" si="62"/>
        <v/>
      </c>
      <c r="D710" s="38"/>
      <c r="E710" s="38"/>
      <c r="F710" s="39" t="str">
        <f t="shared" si="63"/>
        <v/>
      </c>
      <c r="G710" s="39" t="str">
        <f t="shared" si="64"/>
        <v/>
      </c>
      <c r="H710" s="39" t="str">
        <f t="shared" si="65"/>
        <v/>
      </c>
    </row>
    <row r="711" spans="1:8" x14ac:dyDescent="0.25">
      <c r="A711" s="35" t="str">
        <f t="shared" si="60"/>
        <v/>
      </c>
      <c r="B711" s="36" t="str">
        <f t="shared" si="61"/>
        <v/>
      </c>
      <c r="C711" s="37" t="str">
        <f t="shared" si="62"/>
        <v/>
      </c>
      <c r="D711" s="38"/>
      <c r="E711" s="38"/>
      <c r="F711" s="39" t="str">
        <f t="shared" si="63"/>
        <v/>
      </c>
      <c r="G711" s="39" t="str">
        <f t="shared" si="64"/>
        <v/>
      </c>
      <c r="H711" s="39" t="str">
        <f t="shared" si="65"/>
        <v/>
      </c>
    </row>
    <row r="712" spans="1:8" x14ac:dyDescent="0.25">
      <c r="A712" s="35" t="str">
        <f t="shared" si="60"/>
        <v/>
      </c>
      <c r="B712" s="36" t="str">
        <f t="shared" si="61"/>
        <v/>
      </c>
      <c r="C712" s="37" t="str">
        <f t="shared" si="62"/>
        <v/>
      </c>
      <c r="D712" s="38"/>
      <c r="E712" s="38"/>
      <c r="F712" s="39" t="str">
        <f t="shared" si="63"/>
        <v/>
      </c>
      <c r="G712" s="39" t="str">
        <f t="shared" si="64"/>
        <v/>
      </c>
      <c r="H712" s="39" t="str">
        <f t="shared" si="65"/>
        <v/>
      </c>
    </row>
    <row r="713" spans="1:8" x14ac:dyDescent="0.25">
      <c r="A713" s="35" t="str">
        <f t="shared" si="60"/>
        <v/>
      </c>
      <c r="B713" s="36" t="str">
        <f t="shared" si="61"/>
        <v/>
      </c>
      <c r="C713" s="37" t="str">
        <f t="shared" si="62"/>
        <v/>
      </c>
      <c r="D713" s="38"/>
      <c r="E713" s="38"/>
      <c r="F713" s="39" t="str">
        <f t="shared" si="63"/>
        <v/>
      </c>
      <c r="G713" s="39" t="str">
        <f t="shared" si="64"/>
        <v/>
      </c>
      <c r="H713" s="39" t="str">
        <f t="shared" si="65"/>
        <v/>
      </c>
    </row>
    <row r="714" spans="1:8" x14ac:dyDescent="0.25">
      <c r="A714" s="35" t="str">
        <f t="shared" si="60"/>
        <v/>
      </c>
      <c r="B714" s="36" t="str">
        <f t="shared" si="61"/>
        <v/>
      </c>
      <c r="C714" s="37" t="str">
        <f t="shared" si="62"/>
        <v/>
      </c>
      <c r="D714" s="38"/>
      <c r="E714" s="38"/>
      <c r="F714" s="39" t="str">
        <f t="shared" si="63"/>
        <v/>
      </c>
      <c r="G714" s="39" t="str">
        <f t="shared" si="64"/>
        <v/>
      </c>
      <c r="H714" s="39" t="str">
        <f t="shared" si="65"/>
        <v/>
      </c>
    </row>
    <row r="715" spans="1:8" x14ac:dyDescent="0.25">
      <c r="A715" s="35" t="str">
        <f t="shared" si="60"/>
        <v/>
      </c>
      <c r="B715" s="36" t="str">
        <f t="shared" si="61"/>
        <v/>
      </c>
      <c r="C715" s="37" t="str">
        <f t="shared" si="62"/>
        <v/>
      </c>
      <c r="D715" s="38"/>
      <c r="E715" s="38"/>
      <c r="F715" s="39" t="str">
        <f t="shared" si="63"/>
        <v/>
      </c>
      <c r="G715" s="39" t="str">
        <f t="shared" si="64"/>
        <v/>
      </c>
      <c r="H715" s="39" t="str">
        <f t="shared" si="65"/>
        <v/>
      </c>
    </row>
    <row r="716" spans="1:8" x14ac:dyDescent="0.25">
      <c r="A716" s="35" t="str">
        <f t="shared" si="60"/>
        <v/>
      </c>
      <c r="B716" s="36" t="str">
        <f t="shared" si="61"/>
        <v/>
      </c>
      <c r="C716" s="37" t="str">
        <f t="shared" si="62"/>
        <v/>
      </c>
      <c r="D716" s="38"/>
      <c r="E716" s="38"/>
      <c r="F716" s="39" t="str">
        <f t="shared" si="63"/>
        <v/>
      </c>
      <c r="G716" s="39" t="str">
        <f t="shared" si="64"/>
        <v/>
      </c>
      <c r="H716" s="39" t="str">
        <f t="shared" si="65"/>
        <v/>
      </c>
    </row>
    <row r="717" spans="1:8" x14ac:dyDescent="0.25">
      <c r="A717" s="35" t="str">
        <f t="shared" si="60"/>
        <v/>
      </c>
      <c r="B717" s="36" t="str">
        <f t="shared" si="61"/>
        <v/>
      </c>
      <c r="C717" s="37" t="str">
        <f t="shared" si="62"/>
        <v/>
      </c>
      <c r="D717" s="38"/>
      <c r="E717" s="38"/>
      <c r="F717" s="39" t="str">
        <f t="shared" si="63"/>
        <v/>
      </c>
      <c r="G717" s="39" t="str">
        <f t="shared" si="64"/>
        <v/>
      </c>
      <c r="H717" s="39" t="str">
        <f t="shared" si="65"/>
        <v/>
      </c>
    </row>
    <row r="718" spans="1:8" x14ac:dyDescent="0.25">
      <c r="A718" s="35" t="str">
        <f t="shared" si="60"/>
        <v/>
      </c>
      <c r="B718" s="36" t="str">
        <f t="shared" si="61"/>
        <v/>
      </c>
      <c r="C718" s="37" t="str">
        <f t="shared" si="62"/>
        <v/>
      </c>
      <c r="D718" s="38"/>
      <c r="E718" s="38"/>
      <c r="F718" s="39" t="str">
        <f t="shared" si="63"/>
        <v/>
      </c>
      <c r="G718" s="39" t="str">
        <f t="shared" si="64"/>
        <v/>
      </c>
      <c r="H718" s="39" t="str">
        <f t="shared" si="65"/>
        <v/>
      </c>
    </row>
    <row r="719" spans="1:8" x14ac:dyDescent="0.25">
      <c r="A719" s="35" t="str">
        <f t="shared" si="60"/>
        <v/>
      </c>
      <c r="B719" s="36" t="str">
        <f t="shared" si="61"/>
        <v/>
      </c>
      <c r="C719" s="37" t="str">
        <f t="shared" si="62"/>
        <v/>
      </c>
      <c r="D719" s="38"/>
      <c r="E719" s="38"/>
      <c r="F719" s="39" t="str">
        <f t="shared" si="63"/>
        <v/>
      </c>
      <c r="G719" s="39" t="str">
        <f t="shared" si="64"/>
        <v/>
      </c>
      <c r="H719" s="39" t="str">
        <f t="shared" si="65"/>
        <v/>
      </c>
    </row>
    <row r="720" spans="1:8" x14ac:dyDescent="0.25">
      <c r="A720" s="35" t="str">
        <f t="shared" si="60"/>
        <v/>
      </c>
      <c r="B720" s="36" t="str">
        <f t="shared" si="61"/>
        <v/>
      </c>
      <c r="C720" s="37" t="str">
        <f t="shared" si="62"/>
        <v/>
      </c>
      <c r="D720" s="38"/>
      <c r="E720" s="38"/>
      <c r="F720" s="39" t="str">
        <f t="shared" si="63"/>
        <v/>
      </c>
      <c r="G720" s="39" t="str">
        <f t="shared" si="64"/>
        <v/>
      </c>
      <c r="H720" s="39" t="str">
        <f t="shared" si="65"/>
        <v/>
      </c>
    </row>
    <row r="721" spans="1:8" x14ac:dyDescent="0.25">
      <c r="A721" s="35" t="str">
        <f t="shared" si="60"/>
        <v/>
      </c>
      <c r="B721" s="36" t="str">
        <f t="shared" si="61"/>
        <v/>
      </c>
      <c r="C721" s="37" t="str">
        <f t="shared" si="62"/>
        <v/>
      </c>
      <c r="D721" s="38"/>
      <c r="E721" s="38"/>
      <c r="F721" s="39" t="str">
        <f t="shared" si="63"/>
        <v/>
      </c>
      <c r="G721" s="39" t="str">
        <f t="shared" si="64"/>
        <v/>
      </c>
      <c r="H721" s="39" t="str">
        <f t="shared" si="65"/>
        <v/>
      </c>
    </row>
    <row r="722" spans="1:8" x14ac:dyDescent="0.25">
      <c r="A722" s="35" t="str">
        <f t="shared" si="60"/>
        <v/>
      </c>
      <c r="B722" s="36" t="str">
        <f t="shared" si="61"/>
        <v/>
      </c>
      <c r="C722" s="37" t="str">
        <f t="shared" si="62"/>
        <v/>
      </c>
      <c r="D722" s="38"/>
      <c r="E722" s="38"/>
      <c r="F722" s="39" t="str">
        <f t="shared" si="63"/>
        <v/>
      </c>
      <c r="G722" s="39" t="str">
        <f t="shared" si="64"/>
        <v/>
      </c>
      <c r="H722" s="39" t="str">
        <f t="shared" si="65"/>
        <v/>
      </c>
    </row>
    <row r="723" spans="1:8" x14ac:dyDescent="0.25">
      <c r="A723" s="35" t="str">
        <f t="shared" si="60"/>
        <v/>
      </c>
      <c r="B723" s="36" t="str">
        <f t="shared" si="61"/>
        <v/>
      </c>
      <c r="C723" s="37" t="str">
        <f t="shared" si="62"/>
        <v/>
      </c>
      <c r="D723" s="38"/>
      <c r="E723" s="38"/>
      <c r="F723" s="39" t="str">
        <f t="shared" si="63"/>
        <v/>
      </c>
      <c r="G723" s="39" t="str">
        <f t="shared" si="64"/>
        <v/>
      </c>
      <c r="H723" s="39" t="str">
        <f t="shared" si="65"/>
        <v/>
      </c>
    </row>
    <row r="724" spans="1:8" x14ac:dyDescent="0.25">
      <c r="A724" s="35" t="str">
        <f t="shared" si="60"/>
        <v/>
      </c>
      <c r="B724" s="36" t="str">
        <f t="shared" si="61"/>
        <v/>
      </c>
      <c r="C724" s="37" t="str">
        <f t="shared" si="62"/>
        <v/>
      </c>
      <c r="D724" s="38"/>
      <c r="E724" s="38"/>
      <c r="F724" s="39" t="str">
        <f t="shared" si="63"/>
        <v/>
      </c>
      <c r="G724" s="39" t="str">
        <f t="shared" si="64"/>
        <v/>
      </c>
      <c r="H724" s="39" t="str">
        <f t="shared" si="65"/>
        <v/>
      </c>
    </row>
    <row r="725" spans="1:8" x14ac:dyDescent="0.25">
      <c r="A725" s="35" t="str">
        <f t="shared" si="60"/>
        <v/>
      </c>
      <c r="B725" s="36" t="str">
        <f t="shared" si="61"/>
        <v/>
      </c>
      <c r="C725" s="37" t="str">
        <f t="shared" si="62"/>
        <v/>
      </c>
      <c r="D725" s="38"/>
      <c r="E725" s="38"/>
      <c r="F725" s="39" t="str">
        <f t="shared" si="63"/>
        <v/>
      </c>
      <c r="G725" s="39" t="str">
        <f t="shared" si="64"/>
        <v/>
      </c>
      <c r="H725" s="39" t="str">
        <f t="shared" si="65"/>
        <v/>
      </c>
    </row>
    <row r="726" spans="1:8" x14ac:dyDescent="0.25">
      <c r="A726" s="35" t="str">
        <f t="shared" si="60"/>
        <v/>
      </c>
      <c r="B726" s="36" t="str">
        <f t="shared" si="61"/>
        <v/>
      </c>
      <c r="C726" s="37" t="str">
        <f t="shared" si="62"/>
        <v/>
      </c>
      <c r="D726" s="38"/>
      <c r="E726" s="38"/>
      <c r="F726" s="39" t="str">
        <f t="shared" si="63"/>
        <v/>
      </c>
      <c r="G726" s="39" t="str">
        <f t="shared" si="64"/>
        <v/>
      </c>
      <c r="H726" s="39" t="str">
        <f t="shared" si="65"/>
        <v/>
      </c>
    </row>
    <row r="727" spans="1:8" x14ac:dyDescent="0.25">
      <c r="A727" s="35" t="str">
        <f t="shared" si="60"/>
        <v/>
      </c>
      <c r="B727" s="36" t="str">
        <f t="shared" si="61"/>
        <v/>
      </c>
      <c r="C727" s="37" t="str">
        <f t="shared" si="62"/>
        <v/>
      </c>
      <c r="D727" s="38"/>
      <c r="E727" s="38"/>
      <c r="F727" s="39" t="str">
        <f t="shared" si="63"/>
        <v/>
      </c>
      <c r="G727" s="39" t="str">
        <f t="shared" si="64"/>
        <v/>
      </c>
      <c r="H727" s="39" t="str">
        <f t="shared" si="65"/>
        <v/>
      </c>
    </row>
    <row r="728" spans="1:8" x14ac:dyDescent="0.25">
      <c r="A728" s="35" t="str">
        <f t="shared" si="60"/>
        <v/>
      </c>
      <c r="B728" s="36" t="str">
        <f t="shared" si="61"/>
        <v/>
      </c>
      <c r="C728" s="37" t="str">
        <f t="shared" si="62"/>
        <v/>
      </c>
      <c r="D728" s="38"/>
      <c r="E728" s="38"/>
      <c r="F728" s="39" t="str">
        <f t="shared" si="63"/>
        <v/>
      </c>
      <c r="G728" s="39" t="str">
        <f t="shared" si="64"/>
        <v/>
      </c>
      <c r="H728" s="39" t="str">
        <f t="shared" si="65"/>
        <v/>
      </c>
    </row>
    <row r="729" spans="1:8" x14ac:dyDescent="0.25">
      <c r="A729" s="35" t="str">
        <f t="shared" si="60"/>
        <v/>
      </c>
      <c r="B729" s="36" t="str">
        <f t="shared" si="61"/>
        <v/>
      </c>
      <c r="C729" s="37" t="str">
        <f t="shared" si="62"/>
        <v/>
      </c>
      <c r="D729" s="38"/>
      <c r="E729" s="38"/>
      <c r="F729" s="39" t="str">
        <f t="shared" si="63"/>
        <v/>
      </c>
      <c r="G729" s="39" t="str">
        <f t="shared" si="64"/>
        <v/>
      </c>
      <c r="H729" s="39" t="str">
        <f t="shared" si="65"/>
        <v/>
      </c>
    </row>
    <row r="730" spans="1:8" x14ac:dyDescent="0.25">
      <c r="A730" s="35" t="str">
        <f t="shared" ref="A730:A793" si="66">IF(H729="","",IF(roundOpt,IF(OR(A729&gt;=nPer,ROUND(H729,2)&lt;=0),"",A729+1),IF(OR(A729&gt;=nPer,H729&lt;=0),"",A729+1)))</f>
        <v/>
      </c>
      <c r="B730" s="36" t="str">
        <f t="shared" ref="B730:B793" si="67">IF(A730="","",IF(OR(periods_per_year=26,periods_per_year=52),IF(periods_per_year=26,IF(A730=1,beginDate,B729+14),IF(periods_per_year=52,IF(A730=1,beginDate,B729+7),"n/a")),IF(periods_per_year=24,DATE(YEAR(beginDate),MONTH(beginDate)+(A730-1)/2+IF(AND(DAY(beginDate)&gt;=15,MOD(A730,2)=0),1,0),IF(MOD(A730,2)=0,IF(DAY(beginDate)&gt;=15,DAY(beginDate)-14,DAY(beginDate)+14),DAY(beginDate))),IF(DAY(DATE(YEAR(beginDate),MONTH(beginDate)+(A730-1)*monthsPerPeriod,DAY(beginDate)))&lt;&gt;DAY(beginDate),DATE(YEAR(beginDate),MONTH(beginDate)+(A730-1)*monthsPerPeriod+1,0),DATE(YEAR(beginDate),MONTH(beginDate)+(A730-1)*monthsPerPeriod,DAY(beginDate))))))</f>
        <v/>
      </c>
      <c r="C730" s="37" t="str">
        <f t="shared" ref="C730:C793" si="68">IF(A730="","",IF(roundOpt,IF(OR(A730=nPer,payment&gt;ROUND((1+rate)*H729,2)),ROUND((1+rate)*H729,2),payment),IF(OR(A730=nPer,payment&gt;(1+rate)*H729),(1+rate)*H729,payment)))</f>
        <v/>
      </c>
      <c r="D730" s="38"/>
      <c r="E730" s="38"/>
      <c r="F730" s="39" t="str">
        <f t="shared" ref="F730:F793" si="69">IF(A730="","",IF(AND(A730=1,pmtType=1),0,IF(roundOpt,ROUND(rate*H729,2),rate*H729)))</f>
        <v/>
      </c>
      <c r="G730" s="39" t="str">
        <f t="shared" ref="G730:G793" si="70">IF(A730="","",C730-F730+D730)</f>
        <v/>
      </c>
      <c r="H730" s="39" t="str">
        <f t="shared" ref="H730:H793" si="71">IF(A730="","",H729-G730)</f>
        <v/>
      </c>
    </row>
    <row r="731" spans="1:8" x14ac:dyDescent="0.25">
      <c r="A731" s="35" t="str">
        <f t="shared" si="66"/>
        <v/>
      </c>
      <c r="B731" s="36" t="str">
        <f t="shared" si="67"/>
        <v/>
      </c>
      <c r="C731" s="37" t="str">
        <f t="shared" si="68"/>
        <v/>
      </c>
      <c r="D731" s="38"/>
      <c r="E731" s="38"/>
      <c r="F731" s="39" t="str">
        <f t="shared" si="69"/>
        <v/>
      </c>
      <c r="G731" s="39" t="str">
        <f t="shared" si="70"/>
        <v/>
      </c>
      <c r="H731" s="39" t="str">
        <f t="shared" si="71"/>
        <v/>
      </c>
    </row>
    <row r="732" spans="1:8" x14ac:dyDescent="0.25">
      <c r="A732" s="35" t="str">
        <f t="shared" si="66"/>
        <v/>
      </c>
      <c r="B732" s="36" t="str">
        <f t="shared" si="67"/>
        <v/>
      </c>
      <c r="C732" s="37" t="str">
        <f t="shared" si="68"/>
        <v/>
      </c>
      <c r="D732" s="38"/>
      <c r="E732" s="38"/>
      <c r="F732" s="39" t="str">
        <f t="shared" si="69"/>
        <v/>
      </c>
      <c r="G732" s="39" t="str">
        <f t="shared" si="70"/>
        <v/>
      </c>
      <c r="H732" s="39" t="str">
        <f t="shared" si="71"/>
        <v/>
      </c>
    </row>
    <row r="733" spans="1:8" x14ac:dyDescent="0.25">
      <c r="A733" s="35" t="str">
        <f t="shared" si="66"/>
        <v/>
      </c>
      <c r="B733" s="36" t="str">
        <f t="shared" si="67"/>
        <v/>
      </c>
      <c r="C733" s="37" t="str">
        <f t="shared" si="68"/>
        <v/>
      </c>
      <c r="D733" s="38"/>
      <c r="E733" s="38"/>
      <c r="F733" s="39" t="str">
        <f t="shared" si="69"/>
        <v/>
      </c>
      <c r="G733" s="39" t="str">
        <f t="shared" si="70"/>
        <v/>
      </c>
      <c r="H733" s="39" t="str">
        <f t="shared" si="71"/>
        <v/>
      </c>
    </row>
    <row r="734" spans="1:8" x14ac:dyDescent="0.25">
      <c r="A734" s="35" t="str">
        <f t="shared" si="66"/>
        <v/>
      </c>
      <c r="B734" s="36" t="str">
        <f t="shared" si="67"/>
        <v/>
      </c>
      <c r="C734" s="37" t="str">
        <f t="shared" si="68"/>
        <v/>
      </c>
      <c r="D734" s="38"/>
      <c r="E734" s="38"/>
      <c r="F734" s="39" t="str">
        <f t="shared" si="69"/>
        <v/>
      </c>
      <c r="G734" s="39" t="str">
        <f t="shared" si="70"/>
        <v/>
      </c>
      <c r="H734" s="39" t="str">
        <f t="shared" si="71"/>
        <v/>
      </c>
    </row>
    <row r="735" spans="1:8" x14ac:dyDescent="0.25">
      <c r="A735" s="35" t="str">
        <f t="shared" si="66"/>
        <v/>
      </c>
      <c r="B735" s="36" t="str">
        <f t="shared" si="67"/>
        <v/>
      </c>
      <c r="C735" s="37" t="str">
        <f t="shared" si="68"/>
        <v/>
      </c>
      <c r="D735" s="38"/>
      <c r="E735" s="38"/>
      <c r="F735" s="39" t="str">
        <f t="shared" si="69"/>
        <v/>
      </c>
      <c r="G735" s="39" t="str">
        <f t="shared" si="70"/>
        <v/>
      </c>
      <c r="H735" s="39" t="str">
        <f t="shared" si="71"/>
        <v/>
      </c>
    </row>
    <row r="736" spans="1:8" x14ac:dyDescent="0.25">
      <c r="A736" s="35" t="str">
        <f t="shared" si="66"/>
        <v/>
      </c>
      <c r="B736" s="36" t="str">
        <f t="shared" si="67"/>
        <v/>
      </c>
      <c r="C736" s="37" t="str">
        <f t="shared" si="68"/>
        <v/>
      </c>
      <c r="D736" s="38"/>
      <c r="E736" s="38"/>
      <c r="F736" s="39" t="str">
        <f t="shared" si="69"/>
        <v/>
      </c>
      <c r="G736" s="39" t="str">
        <f t="shared" si="70"/>
        <v/>
      </c>
      <c r="H736" s="39" t="str">
        <f t="shared" si="71"/>
        <v/>
      </c>
    </row>
    <row r="737" spans="1:8" x14ac:dyDescent="0.25">
      <c r="A737" s="35" t="str">
        <f t="shared" si="66"/>
        <v/>
      </c>
      <c r="B737" s="36" t="str">
        <f t="shared" si="67"/>
        <v/>
      </c>
      <c r="C737" s="37" t="str">
        <f t="shared" si="68"/>
        <v/>
      </c>
      <c r="D737" s="38"/>
      <c r="E737" s="38"/>
      <c r="F737" s="39" t="str">
        <f t="shared" si="69"/>
        <v/>
      </c>
      <c r="G737" s="39" t="str">
        <f t="shared" si="70"/>
        <v/>
      </c>
      <c r="H737" s="39" t="str">
        <f t="shared" si="71"/>
        <v/>
      </c>
    </row>
    <row r="738" spans="1:8" x14ac:dyDescent="0.25">
      <c r="A738" s="35" t="str">
        <f t="shared" si="66"/>
        <v/>
      </c>
      <c r="B738" s="36" t="str">
        <f t="shared" si="67"/>
        <v/>
      </c>
      <c r="C738" s="37" t="str">
        <f t="shared" si="68"/>
        <v/>
      </c>
      <c r="D738" s="38"/>
      <c r="E738" s="38"/>
      <c r="F738" s="39" t="str">
        <f t="shared" si="69"/>
        <v/>
      </c>
      <c r="G738" s="39" t="str">
        <f t="shared" si="70"/>
        <v/>
      </c>
      <c r="H738" s="39" t="str">
        <f t="shared" si="71"/>
        <v/>
      </c>
    </row>
    <row r="739" spans="1:8" x14ac:dyDescent="0.25">
      <c r="A739" s="35" t="str">
        <f t="shared" si="66"/>
        <v/>
      </c>
      <c r="B739" s="36" t="str">
        <f t="shared" si="67"/>
        <v/>
      </c>
      <c r="C739" s="37" t="str">
        <f t="shared" si="68"/>
        <v/>
      </c>
      <c r="D739" s="38"/>
      <c r="E739" s="38"/>
      <c r="F739" s="39" t="str">
        <f t="shared" si="69"/>
        <v/>
      </c>
      <c r="G739" s="39" t="str">
        <f t="shared" si="70"/>
        <v/>
      </c>
      <c r="H739" s="39" t="str">
        <f t="shared" si="71"/>
        <v/>
      </c>
    </row>
    <row r="740" spans="1:8" x14ac:dyDescent="0.25">
      <c r="A740" s="35" t="str">
        <f t="shared" si="66"/>
        <v/>
      </c>
      <c r="B740" s="36" t="str">
        <f t="shared" si="67"/>
        <v/>
      </c>
      <c r="C740" s="37" t="str">
        <f t="shared" si="68"/>
        <v/>
      </c>
      <c r="D740" s="38"/>
      <c r="E740" s="38"/>
      <c r="F740" s="39" t="str">
        <f t="shared" si="69"/>
        <v/>
      </c>
      <c r="G740" s="39" t="str">
        <f t="shared" si="70"/>
        <v/>
      </c>
      <c r="H740" s="39" t="str">
        <f t="shared" si="71"/>
        <v/>
      </c>
    </row>
    <row r="741" spans="1:8" x14ac:dyDescent="0.25">
      <c r="A741" s="35" t="str">
        <f t="shared" si="66"/>
        <v/>
      </c>
      <c r="B741" s="36" t="str">
        <f t="shared" si="67"/>
        <v/>
      </c>
      <c r="C741" s="37" t="str">
        <f t="shared" si="68"/>
        <v/>
      </c>
      <c r="D741" s="38"/>
      <c r="E741" s="38"/>
      <c r="F741" s="39" t="str">
        <f t="shared" si="69"/>
        <v/>
      </c>
      <c r="G741" s="39" t="str">
        <f t="shared" si="70"/>
        <v/>
      </c>
      <c r="H741" s="39" t="str">
        <f t="shared" si="71"/>
        <v/>
      </c>
    </row>
    <row r="742" spans="1:8" x14ac:dyDescent="0.25">
      <c r="A742" s="35" t="str">
        <f t="shared" si="66"/>
        <v/>
      </c>
      <c r="B742" s="36" t="str">
        <f t="shared" si="67"/>
        <v/>
      </c>
      <c r="C742" s="37" t="str">
        <f t="shared" si="68"/>
        <v/>
      </c>
      <c r="D742" s="38"/>
      <c r="E742" s="38"/>
      <c r="F742" s="39" t="str">
        <f t="shared" si="69"/>
        <v/>
      </c>
      <c r="G742" s="39" t="str">
        <f t="shared" si="70"/>
        <v/>
      </c>
      <c r="H742" s="39" t="str">
        <f t="shared" si="71"/>
        <v/>
      </c>
    </row>
    <row r="743" spans="1:8" x14ac:dyDescent="0.25">
      <c r="A743" s="35" t="str">
        <f t="shared" si="66"/>
        <v/>
      </c>
      <c r="B743" s="36" t="str">
        <f t="shared" si="67"/>
        <v/>
      </c>
      <c r="C743" s="37" t="str">
        <f t="shared" si="68"/>
        <v/>
      </c>
      <c r="D743" s="38"/>
      <c r="E743" s="38"/>
      <c r="F743" s="39" t="str">
        <f t="shared" si="69"/>
        <v/>
      </c>
      <c r="G743" s="39" t="str">
        <f t="shared" si="70"/>
        <v/>
      </c>
      <c r="H743" s="39" t="str">
        <f t="shared" si="71"/>
        <v/>
      </c>
    </row>
    <row r="744" spans="1:8" x14ac:dyDescent="0.25">
      <c r="A744" s="35" t="str">
        <f t="shared" si="66"/>
        <v/>
      </c>
      <c r="B744" s="36" t="str">
        <f t="shared" si="67"/>
        <v/>
      </c>
      <c r="C744" s="37" t="str">
        <f t="shared" si="68"/>
        <v/>
      </c>
      <c r="D744" s="38"/>
      <c r="E744" s="38"/>
      <c r="F744" s="39" t="str">
        <f t="shared" si="69"/>
        <v/>
      </c>
      <c r="G744" s="39" t="str">
        <f t="shared" si="70"/>
        <v/>
      </c>
      <c r="H744" s="39" t="str">
        <f t="shared" si="71"/>
        <v/>
      </c>
    </row>
    <row r="745" spans="1:8" x14ac:dyDescent="0.25">
      <c r="A745" s="35" t="str">
        <f t="shared" si="66"/>
        <v/>
      </c>
      <c r="B745" s="36" t="str">
        <f t="shared" si="67"/>
        <v/>
      </c>
      <c r="C745" s="37" t="str">
        <f t="shared" si="68"/>
        <v/>
      </c>
      <c r="D745" s="38"/>
      <c r="E745" s="38"/>
      <c r="F745" s="39" t="str">
        <f t="shared" si="69"/>
        <v/>
      </c>
      <c r="G745" s="39" t="str">
        <f t="shared" si="70"/>
        <v/>
      </c>
      <c r="H745" s="39" t="str">
        <f t="shared" si="71"/>
        <v/>
      </c>
    </row>
    <row r="746" spans="1:8" x14ac:dyDescent="0.25">
      <c r="A746" s="35" t="str">
        <f t="shared" si="66"/>
        <v/>
      </c>
      <c r="B746" s="36" t="str">
        <f t="shared" si="67"/>
        <v/>
      </c>
      <c r="C746" s="37" t="str">
        <f t="shared" si="68"/>
        <v/>
      </c>
      <c r="D746" s="38"/>
      <c r="E746" s="38"/>
      <c r="F746" s="39" t="str">
        <f t="shared" si="69"/>
        <v/>
      </c>
      <c r="G746" s="39" t="str">
        <f t="shared" si="70"/>
        <v/>
      </c>
      <c r="H746" s="39" t="str">
        <f t="shared" si="71"/>
        <v/>
      </c>
    </row>
    <row r="747" spans="1:8" x14ac:dyDescent="0.25">
      <c r="A747" s="35" t="str">
        <f t="shared" si="66"/>
        <v/>
      </c>
      <c r="B747" s="36" t="str">
        <f t="shared" si="67"/>
        <v/>
      </c>
      <c r="C747" s="37" t="str">
        <f t="shared" si="68"/>
        <v/>
      </c>
      <c r="D747" s="38"/>
      <c r="E747" s="38"/>
      <c r="F747" s="39" t="str">
        <f t="shared" si="69"/>
        <v/>
      </c>
      <c r="G747" s="39" t="str">
        <f t="shared" si="70"/>
        <v/>
      </c>
      <c r="H747" s="39" t="str">
        <f t="shared" si="71"/>
        <v/>
      </c>
    </row>
    <row r="748" spans="1:8" x14ac:dyDescent="0.25">
      <c r="A748" s="35" t="str">
        <f t="shared" si="66"/>
        <v/>
      </c>
      <c r="B748" s="36" t="str">
        <f t="shared" si="67"/>
        <v/>
      </c>
      <c r="C748" s="37" t="str">
        <f t="shared" si="68"/>
        <v/>
      </c>
      <c r="D748" s="38"/>
      <c r="E748" s="38"/>
      <c r="F748" s="39" t="str">
        <f t="shared" si="69"/>
        <v/>
      </c>
      <c r="G748" s="39" t="str">
        <f t="shared" si="70"/>
        <v/>
      </c>
      <c r="H748" s="39" t="str">
        <f t="shared" si="71"/>
        <v/>
      </c>
    </row>
    <row r="749" spans="1:8" x14ac:dyDescent="0.25">
      <c r="A749" s="35" t="str">
        <f t="shared" si="66"/>
        <v/>
      </c>
      <c r="B749" s="36" t="str">
        <f t="shared" si="67"/>
        <v/>
      </c>
      <c r="C749" s="37" t="str">
        <f t="shared" si="68"/>
        <v/>
      </c>
      <c r="D749" s="38"/>
      <c r="E749" s="38"/>
      <c r="F749" s="39" t="str">
        <f t="shared" si="69"/>
        <v/>
      </c>
      <c r="G749" s="39" t="str">
        <f t="shared" si="70"/>
        <v/>
      </c>
      <c r="H749" s="39" t="str">
        <f t="shared" si="71"/>
        <v/>
      </c>
    </row>
    <row r="750" spans="1:8" x14ac:dyDescent="0.25">
      <c r="A750" s="35" t="str">
        <f t="shared" si="66"/>
        <v/>
      </c>
      <c r="B750" s="36" t="str">
        <f t="shared" si="67"/>
        <v/>
      </c>
      <c r="C750" s="37" t="str">
        <f t="shared" si="68"/>
        <v/>
      </c>
      <c r="D750" s="38"/>
      <c r="E750" s="38"/>
      <c r="F750" s="39" t="str">
        <f t="shared" si="69"/>
        <v/>
      </c>
      <c r="G750" s="39" t="str">
        <f t="shared" si="70"/>
        <v/>
      </c>
      <c r="H750" s="39" t="str">
        <f t="shared" si="71"/>
        <v/>
      </c>
    </row>
    <row r="751" spans="1:8" x14ac:dyDescent="0.25">
      <c r="A751" s="35" t="str">
        <f t="shared" si="66"/>
        <v/>
      </c>
      <c r="B751" s="36" t="str">
        <f t="shared" si="67"/>
        <v/>
      </c>
      <c r="C751" s="37" t="str">
        <f t="shared" si="68"/>
        <v/>
      </c>
      <c r="D751" s="38"/>
      <c r="E751" s="38"/>
      <c r="F751" s="39" t="str">
        <f t="shared" si="69"/>
        <v/>
      </c>
      <c r="G751" s="39" t="str">
        <f t="shared" si="70"/>
        <v/>
      </c>
      <c r="H751" s="39" t="str">
        <f t="shared" si="71"/>
        <v/>
      </c>
    </row>
    <row r="752" spans="1:8" x14ac:dyDescent="0.25">
      <c r="A752" s="35" t="str">
        <f t="shared" si="66"/>
        <v/>
      </c>
      <c r="B752" s="36" t="str">
        <f t="shared" si="67"/>
        <v/>
      </c>
      <c r="C752" s="37" t="str">
        <f t="shared" si="68"/>
        <v/>
      </c>
      <c r="D752" s="38"/>
      <c r="E752" s="38"/>
      <c r="F752" s="39" t="str">
        <f t="shared" si="69"/>
        <v/>
      </c>
      <c r="G752" s="39" t="str">
        <f t="shared" si="70"/>
        <v/>
      </c>
      <c r="H752" s="39" t="str">
        <f t="shared" si="71"/>
        <v/>
      </c>
    </row>
    <row r="753" spans="1:8" x14ac:dyDescent="0.25">
      <c r="A753" s="35" t="str">
        <f t="shared" si="66"/>
        <v/>
      </c>
      <c r="B753" s="36" t="str">
        <f t="shared" si="67"/>
        <v/>
      </c>
      <c r="C753" s="37" t="str">
        <f t="shared" si="68"/>
        <v/>
      </c>
      <c r="D753" s="38"/>
      <c r="E753" s="38"/>
      <c r="F753" s="39" t="str">
        <f t="shared" si="69"/>
        <v/>
      </c>
      <c r="G753" s="39" t="str">
        <f t="shared" si="70"/>
        <v/>
      </c>
      <c r="H753" s="39" t="str">
        <f t="shared" si="71"/>
        <v/>
      </c>
    </row>
    <row r="754" spans="1:8" x14ac:dyDescent="0.25">
      <c r="A754" s="35" t="str">
        <f t="shared" si="66"/>
        <v/>
      </c>
      <c r="B754" s="36" t="str">
        <f t="shared" si="67"/>
        <v/>
      </c>
      <c r="C754" s="37" t="str">
        <f t="shared" si="68"/>
        <v/>
      </c>
      <c r="D754" s="38"/>
      <c r="E754" s="38"/>
      <c r="F754" s="39" t="str">
        <f t="shared" si="69"/>
        <v/>
      </c>
      <c r="G754" s="39" t="str">
        <f t="shared" si="70"/>
        <v/>
      </c>
      <c r="H754" s="39" t="str">
        <f t="shared" si="71"/>
        <v/>
      </c>
    </row>
    <row r="755" spans="1:8" x14ac:dyDescent="0.25">
      <c r="A755" s="35" t="str">
        <f t="shared" si="66"/>
        <v/>
      </c>
      <c r="B755" s="36" t="str">
        <f t="shared" si="67"/>
        <v/>
      </c>
      <c r="C755" s="37" t="str">
        <f t="shared" si="68"/>
        <v/>
      </c>
      <c r="D755" s="38"/>
      <c r="E755" s="38"/>
      <c r="F755" s="39" t="str">
        <f t="shared" si="69"/>
        <v/>
      </c>
      <c r="G755" s="39" t="str">
        <f t="shared" si="70"/>
        <v/>
      </c>
      <c r="H755" s="39" t="str">
        <f t="shared" si="71"/>
        <v/>
      </c>
    </row>
    <row r="756" spans="1:8" x14ac:dyDescent="0.25">
      <c r="A756" s="35" t="str">
        <f t="shared" si="66"/>
        <v/>
      </c>
      <c r="B756" s="36" t="str">
        <f t="shared" si="67"/>
        <v/>
      </c>
      <c r="C756" s="37" t="str">
        <f t="shared" si="68"/>
        <v/>
      </c>
      <c r="D756" s="38"/>
      <c r="E756" s="38"/>
      <c r="F756" s="39" t="str">
        <f t="shared" si="69"/>
        <v/>
      </c>
      <c r="G756" s="39" t="str">
        <f t="shared" si="70"/>
        <v/>
      </c>
      <c r="H756" s="39" t="str">
        <f t="shared" si="71"/>
        <v/>
      </c>
    </row>
    <row r="757" spans="1:8" x14ac:dyDescent="0.25">
      <c r="A757" s="35" t="str">
        <f t="shared" si="66"/>
        <v/>
      </c>
      <c r="B757" s="36" t="str">
        <f t="shared" si="67"/>
        <v/>
      </c>
      <c r="C757" s="37" t="str">
        <f t="shared" si="68"/>
        <v/>
      </c>
      <c r="D757" s="38"/>
      <c r="E757" s="38"/>
      <c r="F757" s="39" t="str">
        <f t="shared" si="69"/>
        <v/>
      </c>
      <c r="G757" s="39" t="str">
        <f t="shared" si="70"/>
        <v/>
      </c>
      <c r="H757" s="39" t="str">
        <f t="shared" si="71"/>
        <v/>
      </c>
    </row>
    <row r="758" spans="1:8" x14ac:dyDescent="0.25">
      <c r="A758" s="35" t="str">
        <f t="shared" si="66"/>
        <v/>
      </c>
      <c r="B758" s="36" t="str">
        <f t="shared" si="67"/>
        <v/>
      </c>
      <c r="C758" s="37" t="str">
        <f t="shared" si="68"/>
        <v/>
      </c>
      <c r="D758" s="38"/>
      <c r="E758" s="38"/>
      <c r="F758" s="39" t="str">
        <f t="shared" si="69"/>
        <v/>
      </c>
      <c r="G758" s="39" t="str">
        <f t="shared" si="70"/>
        <v/>
      </c>
      <c r="H758" s="39" t="str">
        <f t="shared" si="71"/>
        <v/>
      </c>
    </row>
    <row r="759" spans="1:8" x14ac:dyDescent="0.25">
      <c r="A759" s="35" t="str">
        <f t="shared" si="66"/>
        <v/>
      </c>
      <c r="B759" s="36" t="str">
        <f t="shared" si="67"/>
        <v/>
      </c>
      <c r="C759" s="37" t="str">
        <f t="shared" si="68"/>
        <v/>
      </c>
      <c r="D759" s="38"/>
      <c r="E759" s="38"/>
      <c r="F759" s="39" t="str">
        <f t="shared" si="69"/>
        <v/>
      </c>
      <c r="G759" s="39" t="str">
        <f t="shared" si="70"/>
        <v/>
      </c>
      <c r="H759" s="39" t="str">
        <f t="shared" si="71"/>
        <v/>
      </c>
    </row>
    <row r="760" spans="1:8" x14ac:dyDescent="0.25">
      <c r="A760" s="35" t="str">
        <f t="shared" si="66"/>
        <v/>
      </c>
      <c r="B760" s="36" t="str">
        <f t="shared" si="67"/>
        <v/>
      </c>
      <c r="C760" s="37" t="str">
        <f t="shared" si="68"/>
        <v/>
      </c>
      <c r="D760" s="38"/>
      <c r="E760" s="38"/>
      <c r="F760" s="39" t="str">
        <f t="shared" si="69"/>
        <v/>
      </c>
      <c r="G760" s="39" t="str">
        <f t="shared" si="70"/>
        <v/>
      </c>
      <c r="H760" s="39" t="str">
        <f t="shared" si="71"/>
        <v/>
      </c>
    </row>
    <row r="761" spans="1:8" x14ac:dyDescent="0.25">
      <c r="A761" s="35" t="str">
        <f t="shared" si="66"/>
        <v/>
      </c>
      <c r="B761" s="36" t="str">
        <f t="shared" si="67"/>
        <v/>
      </c>
      <c r="C761" s="37" t="str">
        <f t="shared" si="68"/>
        <v/>
      </c>
      <c r="D761" s="38"/>
      <c r="E761" s="38"/>
      <c r="F761" s="39" t="str">
        <f t="shared" si="69"/>
        <v/>
      </c>
      <c r="G761" s="39" t="str">
        <f t="shared" si="70"/>
        <v/>
      </c>
      <c r="H761" s="39" t="str">
        <f t="shared" si="71"/>
        <v/>
      </c>
    </row>
    <row r="762" spans="1:8" x14ac:dyDescent="0.25">
      <c r="A762" s="35" t="str">
        <f t="shared" si="66"/>
        <v/>
      </c>
      <c r="B762" s="36" t="str">
        <f t="shared" si="67"/>
        <v/>
      </c>
      <c r="C762" s="37" t="str">
        <f t="shared" si="68"/>
        <v/>
      </c>
      <c r="D762" s="38"/>
      <c r="E762" s="38"/>
      <c r="F762" s="39" t="str">
        <f t="shared" si="69"/>
        <v/>
      </c>
      <c r="G762" s="39" t="str">
        <f t="shared" si="70"/>
        <v/>
      </c>
      <c r="H762" s="39" t="str">
        <f t="shared" si="71"/>
        <v/>
      </c>
    </row>
    <row r="763" spans="1:8" x14ac:dyDescent="0.25">
      <c r="A763" s="35" t="str">
        <f t="shared" si="66"/>
        <v/>
      </c>
      <c r="B763" s="36" t="str">
        <f t="shared" si="67"/>
        <v/>
      </c>
      <c r="C763" s="37" t="str">
        <f t="shared" si="68"/>
        <v/>
      </c>
      <c r="D763" s="38"/>
      <c r="E763" s="38"/>
      <c r="F763" s="39" t="str">
        <f t="shared" si="69"/>
        <v/>
      </c>
      <c r="G763" s="39" t="str">
        <f t="shared" si="70"/>
        <v/>
      </c>
      <c r="H763" s="39" t="str">
        <f t="shared" si="71"/>
        <v/>
      </c>
    </row>
    <row r="764" spans="1:8" x14ac:dyDescent="0.25">
      <c r="A764" s="35" t="str">
        <f t="shared" si="66"/>
        <v/>
      </c>
      <c r="B764" s="36" t="str">
        <f t="shared" si="67"/>
        <v/>
      </c>
      <c r="C764" s="37" t="str">
        <f t="shared" si="68"/>
        <v/>
      </c>
      <c r="D764" s="38"/>
      <c r="E764" s="38"/>
      <c r="F764" s="39" t="str">
        <f t="shared" si="69"/>
        <v/>
      </c>
      <c r="G764" s="39" t="str">
        <f t="shared" si="70"/>
        <v/>
      </c>
      <c r="H764" s="39" t="str">
        <f t="shared" si="71"/>
        <v/>
      </c>
    </row>
    <row r="765" spans="1:8" x14ac:dyDescent="0.25">
      <c r="A765" s="35" t="str">
        <f t="shared" si="66"/>
        <v/>
      </c>
      <c r="B765" s="36" t="str">
        <f t="shared" si="67"/>
        <v/>
      </c>
      <c r="C765" s="37" t="str">
        <f t="shared" si="68"/>
        <v/>
      </c>
      <c r="D765" s="38"/>
      <c r="E765" s="38"/>
      <c r="F765" s="39" t="str">
        <f t="shared" si="69"/>
        <v/>
      </c>
      <c r="G765" s="39" t="str">
        <f t="shared" si="70"/>
        <v/>
      </c>
      <c r="H765" s="39" t="str">
        <f t="shared" si="71"/>
        <v/>
      </c>
    </row>
    <row r="766" spans="1:8" x14ac:dyDescent="0.25">
      <c r="A766" s="35" t="str">
        <f t="shared" si="66"/>
        <v/>
      </c>
      <c r="B766" s="36" t="str">
        <f t="shared" si="67"/>
        <v/>
      </c>
      <c r="C766" s="37" t="str">
        <f t="shared" si="68"/>
        <v/>
      </c>
      <c r="D766" s="38"/>
      <c r="E766" s="38"/>
      <c r="F766" s="39" t="str">
        <f t="shared" si="69"/>
        <v/>
      </c>
      <c r="G766" s="39" t="str">
        <f t="shared" si="70"/>
        <v/>
      </c>
      <c r="H766" s="39" t="str">
        <f t="shared" si="71"/>
        <v/>
      </c>
    </row>
    <row r="767" spans="1:8" x14ac:dyDescent="0.25">
      <c r="A767" s="35" t="str">
        <f t="shared" si="66"/>
        <v/>
      </c>
      <c r="B767" s="36" t="str">
        <f t="shared" si="67"/>
        <v/>
      </c>
      <c r="C767" s="37" t="str">
        <f t="shared" si="68"/>
        <v/>
      </c>
      <c r="D767" s="38"/>
      <c r="E767" s="38"/>
      <c r="F767" s="39" t="str">
        <f t="shared" si="69"/>
        <v/>
      </c>
      <c r="G767" s="39" t="str">
        <f t="shared" si="70"/>
        <v/>
      </c>
      <c r="H767" s="39" t="str">
        <f t="shared" si="71"/>
        <v/>
      </c>
    </row>
    <row r="768" spans="1:8" x14ac:dyDescent="0.25">
      <c r="A768" s="35" t="str">
        <f t="shared" si="66"/>
        <v/>
      </c>
      <c r="B768" s="36" t="str">
        <f t="shared" si="67"/>
        <v/>
      </c>
      <c r="C768" s="37" t="str">
        <f t="shared" si="68"/>
        <v/>
      </c>
      <c r="D768" s="38"/>
      <c r="E768" s="38"/>
      <c r="F768" s="39" t="str">
        <f t="shared" si="69"/>
        <v/>
      </c>
      <c r="G768" s="39" t="str">
        <f t="shared" si="70"/>
        <v/>
      </c>
      <c r="H768" s="39" t="str">
        <f t="shared" si="71"/>
        <v/>
      </c>
    </row>
    <row r="769" spans="1:8" x14ac:dyDescent="0.25">
      <c r="A769" s="35" t="str">
        <f t="shared" si="66"/>
        <v/>
      </c>
      <c r="B769" s="36" t="str">
        <f t="shared" si="67"/>
        <v/>
      </c>
      <c r="C769" s="37" t="str">
        <f t="shared" si="68"/>
        <v/>
      </c>
      <c r="D769" s="38"/>
      <c r="E769" s="38"/>
      <c r="F769" s="39" t="str">
        <f t="shared" si="69"/>
        <v/>
      </c>
      <c r="G769" s="39" t="str">
        <f t="shared" si="70"/>
        <v/>
      </c>
      <c r="H769" s="39" t="str">
        <f t="shared" si="71"/>
        <v/>
      </c>
    </row>
    <row r="770" spans="1:8" x14ac:dyDescent="0.25">
      <c r="A770" s="35" t="str">
        <f t="shared" si="66"/>
        <v/>
      </c>
      <c r="B770" s="36" t="str">
        <f t="shared" si="67"/>
        <v/>
      </c>
      <c r="C770" s="37" t="str">
        <f t="shared" si="68"/>
        <v/>
      </c>
      <c r="D770" s="38"/>
      <c r="E770" s="38"/>
      <c r="F770" s="39" t="str">
        <f t="shared" si="69"/>
        <v/>
      </c>
      <c r="G770" s="39" t="str">
        <f t="shared" si="70"/>
        <v/>
      </c>
      <c r="H770" s="39" t="str">
        <f t="shared" si="71"/>
        <v/>
      </c>
    </row>
    <row r="771" spans="1:8" x14ac:dyDescent="0.25">
      <c r="A771" s="35" t="str">
        <f t="shared" si="66"/>
        <v/>
      </c>
      <c r="B771" s="36" t="str">
        <f t="shared" si="67"/>
        <v/>
      </c>
      <c r="C771" s="37" t="str">
        <f t="shared" si="68"/>
        <v/>
      </c>
      <c r="D771" s="38"/>
      <c r="E771" s="38"/>
      <c r="F771" s="39" t="str">
        <f t="shared" si="69"/>
        <v/>
      </c>
      <c r="G771" s="39" t="str">
        <f t="shared" si="70"/>
        <v/>
      </c>
      <c r="H771" s="39" t="str">
        <f t="shared" si="71"/>
        <v/>
      </c>
    </row>
    <row r="772" spans="1:8" x14ac:dyDescent="0.25">
      <c r="A772" s="35" t="str">
        <f t="shared" si="66"/>
        <v/>
      </c>
      <c r="B772" s="36" t="str">
        <f t="shared" si="67"/>
        <v/>
      </c>
      <c r="C772" s="37" t="str">
        <f t="shared" si="68"/>
        <v/>
      </c>
      <c r="D772" s="38"/>
      <c r="E772" s="38"/>
      <c r="F772" s="39" t="str">
        <f t="shared" si="69"/>
        <v/>
      </c>
      <c r="G772" s="39" t="str">
        <f t="shared" si="70"/>
        <v/>
      </c>
      <c r="H772" s="39" t="str">
        <f t="shared" si="71"/>
        <v/>
      </c>
    </row>
    <row r="773" spans="1:8" x14ac:dyDescent="0.25">
      <c r="A773" s="35" t="str">
        <f t="shared" si="66"/>
        <v/>
      </c>
      <c r="B773" s="36" t="str">
        <f t="shared" si="67"/>
        <v/>
      </c>
      <c r="C773" s="37" t="str">
        <f t="shared" si="68"/>
        <v/>
      </c>
      <c r="D773" s="38"/>
      <c r="E773" s="38"/>
      <c r="F773" s="39" t="str">
        <f t="shared" si="69"/>
        <v/>
      </c>
      <c r="G773" s="39" t="str">
        <f t="shared" si="70"/>
        <v/>
      </c>
      <c r="H773" s="39" t="str">
        <f t="shared" si="71"/>
        <v/>
      </c>
    </row>
    <row r="774" spans="1:8" x14ac:dyDescent="0.25">
      <c r="A774" s="35" t="str">
        <f t="shared" si="66"/>
        <v/>
      </c>
      <c r="B774" s="36" t="str">
        <f t="shared" si="67"/>
        <v/>
      </c>
      <c r="C774" s="37" t="str">
        <f t="shared" si="68"/>
        <v/>
      </c>
      <c r="D774" s="38"/>
      <c r="E774" s="38"/>
      <c r="F774" s="39" t="str">
        <f t="shared" si="69"/>
        <v/>
      </c>
      <c r="G774" s="39" t="str">
        <f t="shared" si="70"/>
        <v/>
      </c>
      <c r="H774" s="39" t="str">
        <f t="shared" si="71"/>
        <v/>
      </c>
    </row>
    <row r="775" spans="1:8" x14ac:dyDescent="0.25">
      <c r="A775" s="35" t="str">
        <f t="shared" si="66"/>
        <v/>
      </c>
      <c r="B775" s="36" t="str">
        <f t="shared" si="67"/>
        <v/>
      </c>
      <c r="C775" s="37" t="str">
        <f t="shared" si="68"/>
        <v/>
      </c>
      <c r="D775" s="38"/>
      <c r="E775" s="38"/>
      <c r="F775" s="39" t="str">
        <f t="shared" si="69"/>
        <v/>
      </c>
      <c r="G775" s="39" t="str">
        <f t="shared" si="70"/>
        <v/>
      </c>
      <c r="H775" s="39" t="str">
        <f t="shared" si="71"/>
        <v/>
      </c>
    </row>
    <row r="776" spans="1:8" x14ac:dyDescent="0.25">
      <c r="A776" s="35" t="str">
        <f t="shared" si="66"/>
        <v/>
      </c>
      <c r="B776" s="36" t="str">
        <f t="shared" si="67"/>
        <v/>
      </c>
      <c r="C776" s="37" t="str">
        <f t="shared" si="68"/>
        <v/>
      </c>
      <c r="D776" s="38"/>
      <c r="E776" s="38"/>
      <c r="F776" s="39" t="str">
        <f t="shared" si="69"/>
        <v/>
      </c>
      <c r="G776" s="39" t="str">
        <f t="shared" si="70"/>
        <v/>
      </c>
      <c r="H776" s="39" t="str">
        <f t="shared" si="71"/>
        <v/>
      </c>
    </row>
    <row r="777" spans="1:8" x14ac:dyDescent="0.25">
      <c r="A777" s="35" t="str">
        <f t="shared" si="66"/>
        <v/>
      </c>
      <c r="B777" s="36" t="str">
        <f t="shared" si="67"/>
        <v/>
      </c>
      <c r="C777" s="37" t="str">
        <f t="shared" si="68"/>
        <v/>
      </c>
      <c r="D777" s="38"/>
      <c r="E777" s="38"/>
      <c r="F777" s="39" t="str">
        <f t="shared" si="69"/>
        <v/>
      </c>
      <c r="G777" s="39" t="str">
        <f t="shared" si="70"/>
        <v/>
      </c>
      <c r="H777" s="39" t="str">
        <f t="shared" si="71"/>
        <v/>
      </c>
    </row>
    <row r="778" spans="1:8" x14ac:dyDescent="0.25">
      <c r="A778" s="35" t="str">
        <f t="shared" si="66"/>
        <v/>
      </c>
      <c r="B778" s="36" t="str">
        <f t="shared" si="67"/>
        <v/>
      </c>
      <c r="C778" s="37" t="str">
        <f t="shared" si="68"/>
        <v/>
      </c>
      <c r="D778" s="38"/>
      <c r="E778" s="38"/>
      <c r="F778" s="39" t="str">
        <f t="shared" si="69"/>
        <v/>
      </c>
      <c r="G778" s="39" t="str">
        <f t="shared" si="70"/>
        <v/>
      </c>
      <c r="H778" s="39" t="str">
        <f t="shared" si="71"/>
        <v/>
      </c>
    </row>
    <row r="779" spans="1:8" x14ac:dyDescent="0.25">
      <c r="A779" s="35" t="str">
        <f t="shared" si="66"/>
        <v/>
      </c>
      <c r="B779" s="36" t="str">
        <f t="shared" si="67"/>
        <v/>
      </c>
      <c r="C779" s="37" t="str">
        <f t="shared" si="68"/>
        <v/>
      </c>
      <c r="D779" s="38"/>
      <c r="E779" s="38"/>
      <c r="F779" s="39" t="str">
        <f t="shared" si="69"/>
        <v/>
      </c>
      <c r="G779" s="39" t="str">
        <f t="shared" si="70"/>
        <v/>
      </c>
      <c r="H779" s="39" t="str">
        <f t="shared" si="71"/>
        <v/>
      </c>
    </row>
    <row r="780" spans="1:8" x14ac:dyDescent="0.25">
      <c r="A780" s="35" t="str">
        <f t="shared" si="66"/>
        <v/>
      </c>
      <c r="B780" s="36" t="str">
        <f t="shared" si="67"/>
        <v/>
      </c>
      <c r="C780" s="37" t="str">
        <f t="shared" si="68"/>
        <v/>
      </c>
      <c r="D780" s="38"/>
      <c r="E780" s="38"/>
      <c r="F780" s="39" t="str">
        <f t="shared" si="69"/>
        <v/>
      </c>
      <c r="G780" s="39" t="str">
        <f t="shared" si="70"/>
        <v/>
      </c>
      <c r="H780" s="39" t="str">
        <f t="shared" si="71"/>
        <v/>
      </c>
    </row>
    <row r="781" spans="1:8" x14ac:dyDescent="0.25">
      <c r="A781" s="35" t="str">
        <f t="shared" si="66"/>
        <v/>
      </c>
      <c r="B781" s="36" t="str">
        <f t="shared" si="67"/>
        <v/>
      </c>
      <c r="C781" s="37" t="str">
        <f t="shared" si="68"/>
        <v/>
      </c>
      <c r="D781" s="38"/>
      <c r="E781" s="38"/>
      <c r="F781" s="39" t="str">
        <f t="shared" si="69"/>
        <v/>
      </c>
      <c r="G781" s="39" t="str">
        <f t="shared" si="70"/>
        <v/>
      </c>
      <c r="H781" s="39" t="str">
        <f t="shared" si="71"/>
        <v/>
      </c>
    </row>
    <row r="782" spans="1:8" x14ac:dyDescent="0.25">
      <c r="A782" s="35" t="str">
        <f t="shared" si="66"/>
        <v/>
      </c>
      <c r="B782" s="36" t="str">
        <f t="shared" si="67"/>
        <v/>
      </c>
      <c r="C782" s="37" t="str">
        <f t="shared" si="68"/>
        <v/>
      </c>
      <c r="D782" s="38"/>
      <c r="E782" s="38"/>
      <c r="F782" s="39" t="str">
        <f t="shared" si="69"/>
        <v/>
      </c>
      <c r="G782" s="39" t="str">
        <f t="shared" si="70"/>
        <v/>
      </c>
      <c r="H782" s="39" t="str">
        <f t="shared" si="71"/>
        <v/>
      </c>
    </row>
    <row r="783" spans="1:8" x14ac:dyDescent="0.25">
      <c r="A783" s="35" t="str">
        <f t="shared" si="66"/>
        <v/>
      </c>
      <c r="B783" s="36" t="str">
        <f t="shared" si="67"/>
        <v/>
      </c>
      <c r="C783" s="37" t="str">
        <f t="shared" si="68"/>
        <v/>
      </c>
      <c r="D783" s="38"/>
      <c r="E783" s="38"/>
      <c r="F783" s="39" t="str">
        <f t="shared" si="69"/>
        <v/>
      </c>
      <c r="G783" s="39" t="str">
        <f t="shared" si="70"/>
        <v/>
      </c>
      <c r="H783" s="39" t="str">
        <f t="shared" si="71"/>
        <v/>
      </c>
    </row>
    <row r="784" spans="1:8" x14ac:dyDescent="0.25">
      <c r="A784" s="35" t="str">
        <f t="shared" si="66"/>
        <v/>
      </c>
      <c r="B784" s="36" t="str">
        <f t="shared" si="67"/>
        <v/>
      </c>
      <c r="C784" s="37" t="str">
        <f t="shared" si="68"/>
        <v/>
      </c>
      <c r="D784" s="38"/>
      <c r="E784" s="38"/>
      <c r="F784" s="39" t="str">
        <f t="shared" si="69"/>
        <v/>
      </c>
      <c r="G784" s="39" t="str">
        <f t="shared" si="70"/>
        <v/>
      </c>
      <c r="H784" s="39" t="str">
        <f t="shared" si="71"/>
        <v/>
      </c>
    </row>
    <row r="785" spans="1:8" x14ac:dyDescent="0.25">
      <c r="A785" s="35" t="str">
        <f t="shared" si="66"/>
        <v/>
      </c>
      <c r="B785" s="36" t="str">
        <f t="shared" si="67"/>
        <v/>
      </c>
      <c r="C785" s="37" t="str">
        <f t="shared" si="68"/>
        <v/>
      </c>
      <c r="D785" s="38"/>
      <c r="E785" s="38"/>
      <c r="F785" s="39" t="str">
        <f t="shared" si="69"/>
        <v/>
      </c>
      <c r="G785" s="39" t="str">
        <f t="shared" si="70"/>
        <v/>
      </c>
      <c r="H785" s="39" t="str">
        <f t="shared" si="71"/>
        <v/>
      </c>
    </row>
    <row r="786" spans="1:8" x14ac:dyDescent="0.25">
      <c r="A786" s="35" t="str">
        <f t="shared" si="66"/>
        <v/>
      </c>
      <c r="B786" s="36" t="str">
        <f t="shared" si="67"/>
        <v/>
      </c>
      <c r="C786" s="37" t="str">
        <f t="shared" si="68"/>
        <v/>
      </c>
      <c r="D786" s="38"/>
      <c r="E786" s="38"/>
      <c r="F786" s="39" t="str">
        <f t="shared" si="69"/>
        <v/>
      </c>
      <c r="G786" s="39" t="str">
        <f t="shared" si="70"/>
        <v/>
      </c>
      <c r="H786" s="39" t="str">
        <f t="shared" si="71"/>
        <v/>
      </c>
    </row>
    <row r="787" spans="1:8" x14ac:dyDescent="0.25">
      <c r="A787" s="35" t="str">
        <f t="shared" si="66"/>
        <v/>
      </c>
      <c r="B787" s="36" t="str">
        <f t="shared" si="67"/>
        <v/>
      </c>
      <c r="C787" s="37" t="str">
        <f t="shared" si="68"/>
        <v/>
      </c>
      <c r="D787" s="38"/>
      <c r="E787" s="38"/>
      <c r="F787" s="39" t="str">
        <f t="shared" si="69"/>
        <v/>
      </c>
      <c r="G787" s="39" t="str">
        <f t="shared" si="70"/>
        <v/>
      </c>
      <c r="H787" s="39" t="str">
        <f t="shared" si="71"/>
        <v/>
      </c>
    </row>
    <row r="788" spans="1:8" x14ac:dyDescent="0.25">
      <c r="A788" s="35" t="str">
        <f t="shared" si="66"/>
        <v/>
      </c>
      <c r="B788" s="36" t="str">
        <f t="shared" si="67"/>
        <v/>
      </c>
      <c r="C788" s="37" t="str">
        <f t="shared" si="68"/>
        <v/>
      </c>
      <c r="D788" s="38"/>
      <c r="E788" s="38"/>
      <c r="F788" s="39" t="str">
        <f t="shared" si="69"/>
        <v/>
      </c>
      <c r="G788" s="39" t="str">
        <f t="shared" si="70"/>
        <v/>
      </c>
      <c r="H788" s="39" t="str">
        <f t="shared" si="71"/>
        <v/>
      </c>
    </row>
    <row r="789" spans="1:8" x14ac:dyDescent="0.25">
      <c r="A789" s="35" t="str">
        <f t="shared" si="66"/>
        <v/>
      </c>
      <c r="B789" s="36" t="str">
        <f t="shared" si="67"/>
        <v/>
      </c>
      <c r="C789" s="37" t="str">
        <f t="shared" si="68"/>
        <v/>
      </c>
      <c r="D789" s="38"/>
      <c r="E789" s="38"/>
      <c r="F789" s="39" t="str">
        <f t="shared" si="69"/>
        <v/>
      </c>
      <c r="G789" s="39" t="str">
        <f t="shared" si="70"/>
        <v/>
      </c>
      <c r="H789" s="39" t="str">
        <f t="shared" si="71"/>
        <v/>
      </c>
    </row>
    <row r="790" spans="1:8" x14ac:dyDescent="0.25">
      <c r="A790" s="35" t="str">
        <f t="shared" si="66"/>
        <v/>
      </c>
      <c r="B790" s="36" t="str">
        <f t="shared" si="67"/>
        <v/>
      </c>
      <c r="C790" s="37" t="str">
        <f t="shared" si="68"/>
        <v/>
      </c>
      <c r="D790" s="38"/>
      <c r="E790" s="38"/>
      <c r="F790" s="39" t="str">
        <f t="shared" si="69"/>
        <v/>
      </c>
      <c r="G790" s="39" t="str">
        <f t="shared" si="70"/>
        <v/>
      </c>
      <c r="H790" s="39" t="str">
        <f t="shared" si="71"/>
        <v/>
      </c>
    </row>
    <row r="791" spans="1:8" x14ac:dyDescent="0.25">
      <c r="A791" s="35" t="str">
        <f t="shared" si="66"/>
        <v/>
      </c>
      <c r="B791" s="36" t="str">
        <f t="shared" si="67"/>
        <v/>
      </c>
      <c r="C791" s="37" t="str">
        <f t="shared" si="68"/>
        <v/>
      </c>
      <c r="D791" s="38"/>
      <c r="E791" s="38"/>
      <c r="F791" s="39" t="str">
        <f t="shared" si="69"/>
        <v/>
      </c>
      <c r="G791" s="39" t="str">
        <f t="shared" si="70"/>
        <v/>
      </c>
      <c r="H791" s="39" t="str">
        <f t="shared" si="71"/>
        <v/>
      </c>
    </row>
    <row r="792" spans="1:8" x14ac:dyDescent="0.25">
      <c r="A792" s="35" t="str">
        <f t="shared" si="66"/>
        <v/>
      </c>
      <c r="B792" s="36" t="str">
        <f t="shared" si="67"/>
        <v/>
      </c>
      <c r="C792" s="37" t="str">
        <f t="shared" si="68"/>
        <v/>
      </c>
      <c r="D792" s="38"/>
      <c r="E792" s="38"/>
      <c r="F792" s="39" t="str">
        <f t="shared" si="69"/>
        <v/>
      </c>
      <c r="G792" s="39" t="str">
        <f t="shared" si="70"/>
        <v/>
      </c>
      <c r="H792" s="39" t="str">
        <f t="shared" si="71"/>
        <v/>
      </c>
    </row>
    <row r="793" spans="1:8" x14ac:dyDescent="0.25">
      <c r="A793" s="35" t="str">
        <f t="shared" si="66"/>
        <v/>
      </c>
      <c r="B793" s="36" t="str">
        <f t="shared" si="67"/>
        <v/>
      </c>
      <c r="C793" s="37" t="str">
        <f t="shared" si="68"/>
        <v/>
      </c>
      <c r="D793" s="38"/>
      <c r="E793" s="38"/>
      <c r="F793" s="39" t="str">
        <f t="shared" si="69"/>
        <v/>
      </c>
      <c r="G793" s="39" t="str">
        <f t="shared" si="70"/>
        <v/>
      </c>
      <c r="H793" s="39" t="str">
        <f t="shared" si="71"/>
        <v/>
      </c>
    </row>
    <row r="794" spans="1:8" x14ac:dyDescent="0.25">
      <c r="A794" s="35" t="str">
        <f t="shared" ref="A794:A805" si="72">IF(H793="","",IF(roundOpt,IF(OR(A793&gt;=nPer,ROUND(H793,2)&lt;=0),"",A793+1),IF(OR(A793&gt;=nPer,H793&lt;=0),"",A793+1)))</f>
        <v/>
      </c>
      <c r="B794" s="36" t="str">
        <f t="shared" ref="B794:B805" si="73">IF(A794="","",IF(OR(periods_per_year=26,periods_per_year=52),IF(periods_per_year=26,IF(A794=1,beginDate,B793+14),IF(periods_per_year=52,IF(A794=1,beginDate,B793+7),"n/a")),IF(periods_per_year=24,DATE(YEAR(beginDate),MONTH(beginDate)+(A794-1)/2+IF(AND(DAY(beginDate)&gt;=15,MOD(A794,2)=0),1,0),IF(MOD(A794,2)=0,IF(DAY(beginDate)&gt;=15,DAY(beginDate)-14,DAY(beginDate)+14),DAY(beginDate))),IF(DAY(DATE(YEAR(beginDate),MONTH(beginDate)+(A794-1)*monthsPerPeriod,DAY(beginDate)))&lt;&gt;DAY(beginDate),DATE(YEAR(beginDate),MONTH(beginDate)+(A794-1)*monthsPerPeriod+1,0),DATE(YEAR(beginDate),MONTH(beginDate)+(A794-1)*monthsPerPeriod,DAY(beginDate))))))</f>
        <v/>
      </c>
      <c r="C794" s="37" t="str">
        <f t="shared" ref="C794:C805" si="74">IF(A794="","",IF(roundOpt,IF(OR(A794=nPer,payment&gt;ROUND((1+rate)*H793,2)),ROUND((1+rate)*H793,2),payment),IF(OR(A794=nPer,payment&gt;(1+rate)*H793),(1+rate)*H793,payment)))</f>
        <v/>
      </c>
      <c r="D794" s="38"/>
      <c r="E794" s="38"/>
      <c r="F794" s="39" t="str">
        <f t="shared" ref="F794:F805" si="75">IF(A794="","",IF(AND(A794=1,pmtType=1),0,IF(roundOpt,ROUND(rate*H793,2),rate*H793)))</f>
        <v/>
      </c>
      <c r="G794" s="39" t="str">
        <f t="shared" ref="G794:G805" si="76">IF(A794="","",C794-F794+D794)</f>
        <v/>
      </c>
      <c r="H794" s="39" t="str">
        <f t="shared" ref="H794:H805" si="77">IF(A794="","",H793-G794)</f>
        <v/>
      </c>
    </row>
    <row r="795" spans="1:8" x14ac:dyDescent="0.25">
      <c r="A795" s="35" t="str">
        <f t="shared" si="72"/>
        <v/>
      </c>
      <c r="B795" s="36" t="str">
        <f t="shared" si="73"/>
        <v/>
      </c>
      <c r="C795" s="37" t="str">
        <f t="shared" si="74"/>
        <v/>
      </c>
      <c r="D795" s="38"/>
      <c r="E795" s="38"/>
      <c r="F795" s="39" t="str">
        <f t="shared" si="75"/>
        <v/>
      </c>
      <c r="G795" s="39" t="str">
        <f t="shared" si="76"/>
        <v/>
      </c>
      <c r="H795" s="39" t="str">
        <f t="shared" si="77"/>
        <v/>
      </c>
    </row>
    <row r="796" spans="1:8" x14ac:dyDescent="0.25">
      <c r="A796" s="35" t="str">
        <f t="shared" si="72"/>
        <v/>
      </c>
      <c r="B796" s="36" t="str">
        <f t="shared" si="73"/>
        <v/>
      </c>
      <c r="C796" s="37" t="str">
        <f t="shared" si="74"/>
        <v/>
      </c>
      <c r="D796" s="38"/>
      <c r="E796" s="38"/>
      <c r="F796" s="39" t="str">
        <f t="shared" si="75"/>
        <v/>
      </c>
      <c r="G796" s="39" t="str">
        <f t="shared" si="76"/>
        <v/>
      </c>
      <c r="H796" s="39" t="str">
        <f t="shared" si="77"/>
        <v/>
      </c>
    </row>
    <row r="797" spans="1:8" x14ac:dyDescent="0.25">
      <c r="A797" s="35" t="str">
        <f t="shared" si="72"/>
        <v/>
      </c>
      <c r="B797" s="36" t="str">
        <f t="shared" si="73"/>
        <v/>
      </c>
      <c r="C797" s="37" t="str">
        <f t="shared" si="74"/>
        <v/>
      </c>
      <c r="D797" s="38"/>
      <c r="E797" s="38"/>
      <c r="F797" s="39" t="str">
        <f t="shared" si="75"/>
        <v/>
      </c>
      <c r="G797" s="39" t="str">
        <f t="shared" si="76"/>
        <v/>
      </c>
      <c r="H797" s="39" t="str">
        <f t="shared" si="77"/>
        <v/>
      </c>
    </row>
    <row r="798" spans="1:8" x14ac:dyDescent="0.25">
      <c r="A798" s="35" t="str">
        <f t="shared" si="72"/>
        <v/>
      </c>
      <c r="B798" s="36" t="str">
        <f t="shared" si="73"/>
        <v/>
      </c>
      <c r="C798" s="37" t="str">
        <f t="shared" si="74"/>
        <v/>
      </c>
      <c r="D798" s="38"/>
      <c r="E798" s="38"/>
      <c r="F798" s="39" t="str">
        <f t="shared" si="75"/>
        <v/>
      </c>
      <c r="G798" s="39" t="str">
        <f t="shared" si="76"/>
        <v/>
      </c>
      <c r="H798" s="39" t="str">
        <f t="shared" si="77"/>
        <v/>
      </c>
    </row>
    <row r="799" spans="1:8" x14ac:dyDescent="0.25">
      <c r="A799" s="35" t="str">
        <f t="shared" si="72"/>
        <v/>
      </c>
      <c r="B799" s="36" t="str">
        <f t="shared" si="73"/>
        <v/>
      </c>
      <c r="C799" s="37" t="str">
        <f t="shared" si="74"/>
        <v/>
      </c>
      <c r="D799" s="38"/>
      <c r="E799" s="38"/>
      <c r="F799" s="39" t="str">
        <f t="shared" si="75"/>
        <v/>
      </c>
      <c r="G799" s="39" t="str">
        <f t="shared" si="76"/>
        <v/>
      </c>
      <c r="H799" s="39" t="str">
        <f t="shared" si="77"/>
        <v/>
      </c>
    </row>
    <row r="800" spans="1:8" x14ac:dyDescent="0.25">
      <c r="A800" s="35" t="str">
        <f t="shared" si="72"/>
        <v/>
      </c>
      <c r="B800" s="36" t="str">
        <f t="shared" si="73"/>
        <v/>
      </c>
      <c r="C800" s="37" t="str">
        <f t="shared" si="74"/>
        <v/>
      </c>
      <c r="D800" s="38"/>
      <c r="E800" s="38"/>
      <c r="F800" s="39" t="str">
        <f t="shared" si="75"/>
        <v/>
      </c>
      <c r="G800" s="39" t="str">
        <f t="shared" si="76"/>
        <v/>
      </c>
      <c r="H800" s="39" t="str">
        <f t="shared" si="77"/>
        <v/>
      </c>
    </row>
    <row r="801" spans="1:8" x14ac:dyDescent="0.25">
      <c r="A801" s="35" t="str">
        <f t="shared" si="72"/>
        <v/>
      </c>
      <c r="B801" s="36" t="str">
        <f t="shared" si="73"/>
        <v/>
      </c>
      <c r="C801" s="37" t="str">
        <f t="shared" si="74"/>
        <v/>
      </c>
      <c r="D801" s="38"/>
      <c r="E801" s="38"/>
      <c r="F801" s="39" t="str">
        <f t="shared" si="75"/>
        <v/>
      </c>
      <c r="G801" s="39" t="str">
        <f t="shared" si="76"/>
        <v/>
      </c>
      <c r="H801" s="39" t="str">
        <f t="shared" si="77"/>
        <v/>
      </c>
    </row>
    <row r="802" spans="1:8" x14ac:dyDescent="0.25">
      <c r="A802" s="35" t="str">
        <f t="shared" si="72"/>
        <v/>
      </c>
      <c r="B802" s="36" t="str">
        <f t="shared" si="73"/>
        <v/>
      </c>
      <c r="C802" s="37" t="str">
        <f t="shared" si="74"/>
        <v/>
      </c>
      <c r="D802" s="38"/>
      <c r="E802" s="38"/>
      <c r="F802" s="39" t="str">
        <f t="shared" si="75"/>
        <v/>
      </c>
      <c r="G802" s="39" t="str">
        <f t="shared" si="76"/>
        <v/>
      </c>
      <c r="H802" s="39" t="str">
        <f t="shared" si="77"/>
        <v/>
      </c>
    </row>
    <row r="803" spans="1:8" x14ac:dyDescent="0.25">
      <c r="A803" s="35" t="str">
        <f t="shared" si="72"/>
        <v/>
      </c>
      <c r="B803" s="36" t="str">
        <f t="shared" si="73"/>
        <v/>
      </c>
      <c r="C803" s="37" t="str">
        <f t="shared" si="74"/>
        <v/>
      </c>
      <c r="D803" s="38"/>
      <c r="E803" s="38"/>
      <c r="F803" s="39" t="str">
        <f t="shared" si="75"/>
        <v/>
      </c>
      <c r="G803" s="39" t="str">
        <f t="shared" si="76"/>
        <v/>
      </c>
      <c r="H803" s="39" t="str">
        <f t="shared" si="77"/>
        <v/>
      </c>
    </row>
    <row r="804" spans="1:8" x14ac:dyDescent="0.25">
      <c r="A804" s="35" t="str">
        <f t="shared" si="72"/>
        <v/>
      </c>
      <c r="B804" s="36" t="str">
        <f t="shared" si="73"/>
        <v/>
      </c>
      <c r="C804" s="37" t="str">
        <f t="shared" si="74"/>
        <v/>
      </c>
      <c r="D804" s="38"/>
      <c r="E804" s="38"/>
      <c r="F804" s="39" t="str">
        <f t="shared" si="75"/>
        <v/>
      </c>
      <c r="G804" s="39" t="str">
        <f t="shared" si="76"/>
        <v/>
      </c>
      <c r="H804" s="39" t="str">
        <f t="shared" si="77"/>
        <v/>
      </c>
    </row>
    <row r="805" spans="1:8" x14ac:dyDescent="0.25">
      <c r="A805" s="35" t="str">
        <f t="shared" si="72"/>
        <v/>
      </c>
      <c r="B805" s="36" t="str">
        <f t="shared" si="73"/>
        <v/>
      </c>
      <c r="C805" s="37" t="str">
        <f t="shared" si="74"/>
        <v/>
      </c>
      <c r="D805" s="38"/>
      <c r="E805" s="38"/>
      <c r="F805" s="39" t="str">
        <f t="shared" si="75"/>
        <v/>
      </c>
      <c r="G805" s="39" t="str">
        <f t="shared" si="76"/>
        <v/>
      </c>
      <c r="H805" s="39" t="str">
        <f t="shared" si="77"/>
        <v/>
      </c>
    </row>
    <row r="806" spans="1:8" x14ac:dyDescent="0.25">
      <c r="A806" s="7" t="s">
        <v>27</v>
      </c>
      <c r="B806" s="7"/>
      <c r="C806" s="7"/>
      <c r="D806" s="7"/>
      <c r="E806" s="7"/>
      <c r="F806" s="7"/>
      <c r="G806" s="7"/>
      <c r="H806" s="7"/>
    </row>
  </sheetData>
  <mergeCells count="816">
    <mergeCell ref="D25:E25"/>
    <mergeCell ref="F20:H20"/>
    <mergeCell ref="A20:C20"/>
    <mergeCell ref="A17:C17"/>
    <mergeCell ref="A16:C16"/>
    <mergeCell ref="A1:H1"/>
    <mergeCell ref="A12:D12"/>
    <mergeCell ref="A4:D4"/>
    <mergeCell ref="F4:H4"/>
    <mergeCell ref="F10:H10"/>
    <mergeCell ref="F9:H9"/>
    <mergeCell ref="F5:G5"/>
    <mergeCell ref="F6:G6"/>
    <mergeCell ref="F7:G7"/>
    <mergeCell ref="F12:H12"/>
    <mergeCell ref="A7:C7"/>
    <mergeCell ref="A6:C6"/>
    <mergeCell ref="A5:C5"/>
    <mergeCell ref="A8:C8"/>
    <mergeCell ref="D28:E28"/>
    <mergeCell ref="D29:E29"/>
    <mergeCell ref="D30:E30"/>
    <mergeCell ref="D31:E31"/>
    <mergeCell ref="D32:E32"/>
    <mergeCell ref="F8:H8"/>
    <mergeCell ref="A806:H806"/>
    <mergeCell ref="A23:H23"/>
    <mergeCell ref="A11:C11"/>
    <mergeCell ref="A13:C13"/>
    <mergeCell ref="F13:H13"/>
    <mergeCell ref="F14:H14"/>
    <mergeCell ref="F15:H15"/>
    <mergeCell ref="F16:H16"/>
    <mergeCell ref="F17:H17"/>
    <mergeCell ref="F18:H18"/>
    <mergeCell ref="A14:C14"/>
    <mergeCell ref="A15:C15"/>
    <mergeCell ref="D24:E24"/>
    <mergeCell ref="D26:E26"/>
    <mergeCell ref="D27:E27"/>
    <mergeCell ref="A9:C9"/>
    <mergeCell ref="A10:C10"/>
    <mergeCell ref="F19:H19"/>
    <mergeCell ref="D38:E38"/>
    <mergeCell ref="D39:E39"/>
    <mergeCell ref="D40:E40"/>
    <mergeCell ref="D41:E41"/>
    <mergeCell ref="D45:E45"/>
    <mergeCell ref="D44:E44"/>
    <mergeCell ref="D43:E43"/>
    <mergeCell ref="D42:E42"/>
    <mergeCell ref="D33:E33"/>
    <mergeCell ref="D34:E34"/>
    <mergeCell ref="D35:E35"/>
    <mergeCell ref="D36:E36"/>
    <mergeCell ref="D37:E37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  <mergeCell ref="D61:E61"/>
    <mergeCell ref="D62:E62"/>
    <mergeCell ref="D63:E63"/>
    <mergeCell ref="D64:E64"/>
    <mergeCell ref="D65:E65"/>
    <mergeCell ref="D56:E56"/>
    <mergeCell ref="D57:E57"/>
    <mergeCell ref="D58:E58"/>
    <mergeCell ref="D59:E59"/>
    <mergeCell ref="D60:E60"/>
    <mergeCell ref="D71:E71"/>
    <mergeCell ref="D72:E72"/>
    <mergeCell ref="D73:E73"/>
    <mergeCell ref="D74:E74"/>
    <mergeCell ref="D75:E75"/>
    <mergeCell ref="D66:E66"/>
    <mergeCell ref="D67:E67"/>
    <mergeCell ref="D68:E68"/>
    <mergeCell ref="D69:E69"/>
    <mergeCell ref="D70:E70"/>
    <mergeCell ref="D81:E81"/>
    <mergeCell ref="D82:E82"/>
    <mergeCell ref="D83:E83"/>
    <mergeCell ref="D84:E84"/>
    <mergeCell ref="D85:E85"/>
    <mergeCell ref="D76:E76"/>
    <mergeCell ref="D77:E77"/>
    <mergeCell ref="D78:E78"/>
    <mergeCell ref="D79:E79"/>
    <mergeCell ref="D80:E80"/>
    <mergeCell ref="D91:E91"/>
    <mergeCell ref="D92:E92"/>
    <mergeCell ref="D93:E93"/>
    <mergeCell ref="D94:E94"/>
    <mergeCell ref="D95:E95"/>
    <mergeCell ref="D86:E86"/>
    <mergeCell ref="D87:E87"/>
    <mergeCell ref="D88:E88"/>
    <mergeCell ref="D89:E89"/>
    <mergeCell ref="D90:E90"/>
    <mergeCell ref="D101:E101"/>
    <mergeCell ref="D102:E102"/>
    <mergeCell ref="D103:E103"/>
    <mergeCell ref="D104:E104"/>
    <mergeCell ref="D105:E105"/>
    <mergeCell ref="D96:E96"/>
    <mergeCell ref="D97:E97"/>
    <mergeCell ref="D98:E98"/>
    <mergeCell ref="D99:E99"/>
    <mergeCell ref="D100:E100"/>
    <mergeCell ref="D111:E111"/>
    <mergeCell ref="D112:E112"/>
    <mergeCell ref="D113:E113"/>
    <mergeCell ref="D114:E114"/>
    <mergeCell ref="D115:E115"/>
    <mergeCell ref="D106:E106"/>
    <mergeCell ref="D107:E107"/>
    <mergeCell ref="D108:E108"/>
    <mergeCell ref="D109:E109"/>
    <mergeCell ref="D110:E110"/>
    <mergeCell ref="D121:E121"/>
    <mergeCell ref="D122:E122"/>
    <mergeCell ref="D123:E123"/>
    <mergeCell ref="D124:E124"/>
    <mergeCell ref="D125:E125"/>
    <mergeCell ref="D116:E116"/>
    <mergeCell ref="D117:E117"/>
    <mergeCell ref="D118:E118"/>
    <mergeCell ref="D119:E119"/>
    <mergeCell ref="D120:E120"/>
    <mergeCell ref="D131:E131"/>
    <mergeCell ref="D132:E132"/>
    <mergeCell ref="D133:E133"/>
    <mergeCell ref="D134:E134"/>
    <mergeCell ref="D135:E135"/>
    <mergeCell ref="D126:E126"/>
    <mergeCell ref="D127:E127"/>
    <mergeCell ref="D128:E128"/>
    <mergeCell ref="D129:E129"/>
    <mergeCell ref="D130:E130"/>
    <mergeCell ref="D141:E141"/>
    <mergeCell ref="D142:E142"/>
    <mergeCell ref="D143:E143"/>
    <mergeCell ref="D144:E144"/>
    <mergeCell ref="D145:E145"/>
    <mergeCell ref="D136:E136"/>
    <mergeCell ref="D137:E137"/>
    <mergeCell ref="D138:E138"/>
    <mergeCell ref="D139:E139"/>
    <mergeCell ref="D140:E140"/>
    <mergeCell ref="D151:E151"/>
    <mergeCell ref="D152:E152"/>
    <mergeCell ref="D153:E153"/>
    <mergeCell ref="D154:E154"/>
    <mergeCell ref="D155:E155"/>
    <mergeCell ref="D146:E146"/>
    <mergeCell ref="D147:E147"/>
    <mergeCell ref="D148:E148"/>
    <mergeCell ref="D149:E149"/>
    <mergeCell ref="D150:E150"/>
    <mergeCell ref="D161:E161"/>
    <mergeCell ref="D162:E162"/>
    <mergeCell ref="D163:E163"/>
    <mergeCell ref="D164:E164"/>
    <mergeCell ref="D165:E165"/>
    <mergeCell ref="D156:E156"/>
    <mergeCell ref="D157:E157"/>
    <mergeCell ref="D158:E158"/>
    <mergeCell ref="D159:E159"/>
    <mergeCell ref="D160:E160"/>
    <mergeCell ref="D171:E171"/>
    <mergeCell ref="D172:E172"/>
    <mergeCell ref="D173:E173"/>
    <mergeCell ref="D174:E174"/>
    <mergeCell ref="D175:E175"/>
    <mergeCell ref="D166:E166"/>
    <mergeCell ref="D167:E167"/>
    <mergeCell ref="D168:E168"/>
    <mergeCell ref="D169:E169"/>
    <mergeCell ref="D170:E170"/>
    <mergeCell ref="D181:E181"/>
    <mergeCell ref="D182:E182"/>
    <mergeCell ref="D183:E183"/>
    <mergeCell ref="D184:E184"/>
    <mergeCell ref="D185:E185"/>
    <mergeCell ref="D176:E176"/>
    <mergeCell ref="D177:E177"/>
    <mergeCell ref="D178:E178"/>
    <mergeCell ref="D179:E179"/>
    <mergeCell ref="D180:E180"/>
    <mergeCell ref="D191:E191"/>
    <mergeCell ref="D192:E192"/>
    <mergeCell ref="D193:E193"/>
    <mergeCell ref="D194:E194"/>
    <mergeCell ref="D195:E195"/>
    <mergeCell ref="D186:E186"/>
    <mergeCell ref="D187:E187"/>
    <mergeCell ref="D188:E188"/>
    <mergeCell ref="D189:E189"/>
    <mergeCell ref="D190:E190"/>
    <mergeCell ref="D201:E201"/>
    <mergeCell ref="D202:E202"/>
    <mergeCell ref="D203:E203"/>
    <mergeCell ref="D204:E204"/>
    <mergeCell ref="D205:E205"/>
    <mergeCell ref="D196:E196"/>
    <mergeCell ref="D197:E197"/>
    <mergeCell ref="D198:E198"/>
    <mergeCell ref="D199:E199"/>
    <mergeCell ref="D200:E200"/>
    <mergeCell ref="D211:E211"/>
    <mergeCell ref="D212:E212"/>
    <mergeCell ref="D213:E213"/>
    <mergeCell ref="D214:E214"/>
    <mergeCell ref="D215:E215"/>
    <mergeCell ref="D206:E206"/>
    <mergeCell ref="D207:E207"/>
    <mergeCell ref="D208:E208"/>
    <mergeCell ref="D209:E209"/>
    <mergeCell ref="D210:E210"/>
    <mergeCell ref="D221:E221"/>
    <mergeCell ref="D222:E222"/>
    <mergeCell ref="D223:E223"/>
    <mergeCell ref="D224:E224"/>
    <mergeCell ref="D225:E225"/>
    <mergeCell ref="D216:E216"/>
    <mergeCell ref="D217:E217"/>
    <mergeCell ref="D218:E218"/>
    <mergeCell ref="D219:E219"/>
    <mergeCell ref="D220:E220"/>
    <mergeCell ref="D231:E231"/>
    <mergeCell ref="D232:E232"/>
    <mergeCell ref="D233:E233"/>
    <mergeCell ref="D234:E234"/>
    <mergeCell ref="D235:E235"/>
    <mergeCell ref="D226:E226"/>
    <mergeCell ref="D227:E227"/>
    <mergeCell ref="D228:E228"/>
    <mergeCell ref="D229:E229"/>
    <mergeCell ref="D230:E230"/>
    <mergeCell ref="D241:E241"/>
    <mergeCell ref="D242:E242"/>
    <mergeCell ref="D243:E243"/>
    <mergeCell ref="D244:E244"/>
    <mergeCell ref="D245:E245"/>
    <mergeCell ref="D236:E236"/>
    <mergeCell ref="D237:E237"/>
    <mergeCell ref="D238:E238"/>
    <mergeCell ref="D239:E239"/>
    <mergeCell ref="D240:E240"/>
    <mergeCell ref="D251:E251"/>
    <mergeCell ref="D252:E252"/>
    <mergeCell ref="D253:E253"/>
    <mergeCell ref="D254:E254"/>
    <mergeCell ref="D255:E255"/>
    <mergeCell ref="D246:E246"/>
    <mergeCell ref="D247:E247"/>
    <mergeCell ref="D248:E248"/>
    <mergeCell ref="D249:E249"/>
    <mergeCell ref="D250:E250"/>
    <mergeCell ref="D261:E261"/>
    <mergeCell ref="D262:E262"/>
    <mergeCell ref="D263:E263"/>
    <mergeCell ref="D264:E264"/>
    <mergeCell ref="D265:E265"/>
    <mergeCell ref="D256:E256"/>
    <mergeCell ref="D257:E257"/>
    <mergeCell ref="D258:E258"/>
    <mergeCell ref="D259:E259"/>
    <mergeCell ref="D260:E260"/>
    <mergeCell ref="D271:E271"/>
    <mergeCell ref="D272:E272"/>
    <mergeCell ref="D273:E273"/>
    <mergeCell ref="D274:E274"/>
    <mergeCell ref="D275:E275"/>
    <mergeCell ref="D266:E266"/>
    <mergeCell ref="D267:E267"/>
    <mergeCell ref="D268:E268"/>
    <mergeCell ref="D269:E269"/>
    <mergeCell ref="D270:E270"/>
    <mergeCell ref="D281:E281"/>
    <mergeCell ref="D282:E282"/>
    <mergeCell ref="D283:E283"/>
    <mergeCell ref="D284:E284"/>
    <mergeCell ref="D285:E285"/>
    <mergeCell ref="D276:E276"/>
    <mergeCell ref="D277:E277"/>
    <mergeCell ref="D278:E278"/>
    <mergeCell ref="D279:E279"/>
    <mergeCell ref="D280:E280"/>
    <mergeCell ref="D291:E291"/>
    <mergeCell ref="D292:E292"/>
    <mergeCell ref="D293:E293"/>
    <mergeCell ref="D294:E294"/>
    <mergeCell ref="D295:E295"/>
    <mergeCell ref="D286:E286"/>
    <mergeCell ref="D287:E287"/>
    <mergeCell ref="D288:E288"/>
    <mergeCell ref="D289:E289"/>
    <mergeCell ref="D290:E290"/>
    <mergeCell ref="D301:E301"/>
    <mergeCell ref="D302:E302"/>
    <mergeCell ref="D303:E303"/>
    <mergeCell ref="D304:E304"/>
    <mergeCell ref="D305:E305"/>
    <mergeCell ref="D296:E296"/>
    <mergeCell ref="D297:E297"/>
    <mergeCell ref="D298:E298"/>
    <mergeCell ref="D299:E299"/>
    <mergeCell ref="D300:E300"/>
    <mergeCell ref="D311:E311"/>
    <mergeCell ref="D312:E312"/>
    <mergeCell ref="D313:E313"/>
    <mergeCell ref="D314:E314"/>
    <mergeCell ref="D315:E315"/>
    <mergeCell ref="D306:E306"/>
    <mergeCell ref="D307:E307"/>
    <mergeCell ref="D308:E308"/>
    <mergeCell ref="D309:E309"/>
    <mergeCell ref="D310:E310"/>
    <mergeCell ref="D321:E321"/>
    <mergeCell ref="D322:E322"/>
    <mergeCell ref="D323:E323"/>
    <mergeCell ref="D324:E324"/>
    <mergeCell ref="D325:E325"/>
    <mergeCell ref="D316:E316"/>
    <mergeCell ref="D317:E317"/>
    <mergeCell ref="D318:E318"/>
    <mergeCell ref="D319:E319"/>
    <mergeCell ref="D320:E320"/>
    <mergeCell ref="D331:E331"/>
    <mergeCell ref="D332:E332"/>
    <mergeCell ref="D333:E333"/>
    <mergeCell ref="D334:E334"/>
    <mergeCell ref="D335:E335"/>
    <mergeCell ref="D326:E326"/>
    <mergeCell ref="D327:E327"/>
    <mergeCell ref="D328:E328"/>
    <mergeCell ref="D329:E329"/>
    <mergeCell ref="D330:E330"/>
    <mergeCell ref="D341:E341"/>
    <mergeCell ref="D342:E342"/>
    <mergeCell ref="D343:E343"/>
    <mergeCell ref="D344:E344"/>
    <mergeCell ref="D345:E345"/>
    <mergeCell ref="D336:E336"/>
    <mergeCell ref="D337:E337"/>
    <mergeCell ref="D338:E338"/>
    <mergeCell ref="D339:E339"/>
    <mergeCell ref="D340:E340"/>
    <mergeCell ref="D351:E351"/>
    <mergeCell ref="D352:E352"/>
    <mergeCell ref="D353:E353"/>
    <mergeCell ref="D354:E354"/>
    <mergeCell ref="D355:E355"/>
    <mergeCell ref="D346:E346"/>
    <mergeCell ref="D347:E347"/>
    <mergeCell ref="D348:E348"/>
    <mergeCell ref="D349:E349"/>
    <mergeCell ref="D350:E350"/>
    <mergeCell ref="D361:E361"/>
    <mergeCell ref="D362:E362"/>
    <mergeCell ref="D363:E363"/>
    <mergeCell ref="D364:E364"/>
    <mergeCell ref="D365:E365"/>
    <mergeCell ref="D356:E356"/>
    <mergeCell ref="D357:E357"/>
    <mergeCell ref="D358:E358"/>
    <mergeCell ref="D359:E359"/>
    <mergeCell ref="D360:E360"/>
    <mergeCell ref="D371:E371"/>
    <mergeCell ref="D372:E372"/>
    <mergeCell ref="D373:E373"/>
    <mergeCell ref="D374:E374"/>
    <mergeCell ref="D375:E375"/>
    <mergeCell ref="D366:E366"/>
    <mergeCell ref="D367:E367"/>
    <mergeCell ref="D368:E368"/>
    <mergeCell ref="D369:E369"/>
    <mergeCell ref="D370:E370"/>
    <mergeCell ref="D381:E381"/>
    <mergeCell ref="D382:E382"/>
    <mergeCell ref="D383:E383"/>
    <mergeCell ref="D384:E384"/>
    <mergeCell ref="D385:E385"/>
    <mergeCell ref="D376:E376"/>
    <mergeCell ref="D377:E377"/>
    <mergeCell ref="D378:E378"/>
    <mergeCell ref="D379:E379"/>
    <mergeCell ref="D380:E380"/>
    <mergeCell ref="D391:E391"/>
    <mergeCell ref="D392:E392"/>
    <mergeCell ref="D393:E393"/>
    <mergeCell ref="D394:E394"/>
    <mergeCell ref="D395:E395"/>
    <mergeCell ref="D386:E386"/>
    <mergeCell ref="D387:E387"/>
    <mergeCell ref="D388:E388"/>
    <mergeCell ref="D389:E389"/>
    <mergeCell ref="D390:E390"/>
    <mergeCell ref="D401:E401"/>
    <mergeCell ref="D402:E402"/>
    <mergeCell ref="D403:E403"/>
    <mergeCell ref="D404:E404"/>
    <mergeCell ref="D405:E405"/>
    <mergeCell ref="D396:E396"/>
    <mergeCell ref="D397:E397"/>
    <mergeCell ref="D398:E398"/>
    <mergeCell ref="D399:E399"/>
    <mergeCell ref="D400:E400"/>
    <mergeCell ref="D411:E411"/>
    <mergeCell ref="D412:E412"/>
    <mergeCell ref="D413:E413"/>
    <mergeCell ref="D414:E414"/>
    <mergeCell ref="D415:E415"/>
    <mergeCell ref="D406:E406"/>
    <mergeCell ref="D407:E407"/>
    <mergeCell ref="D408:E408"/>
    <mergeCell ref="D409:E409"/>
    <mergeCell ref="D410:E410"/>
    <mergeCell ref="D421:E421"/>
    <mergeCell ref="D422:E422"/>
    <mergeCell ref="D423:E423"/>
    <mergeCell ref="D424:E424"/>
    <mergeCell ref="D425:E425"/>
    <mergeCell ref="D416:E416"/>
    <mergeCell ref="D417:E417"/>
    <mergeCell ref="D418:E418"/>
    <mergeCell ref="D419:E419"/>
    <mergeCell ref="D420:E420"/>
    <mergeCell ref="D431:E431"/>
    <mergeCell ref="D432:E432"/>
    <mergeCell ref="D433:E433"/>
    <mergeCell ref="D434:E434"/>
    <mergeCell ref="D435:E435"/>
    <mergeCell ref="D426:E426"/>
    <mergeCell ref="D427:E427"/>
    <mergeCell ref="D428:E428"/>
    <mergeCell ref="D429:E429"/>
    <mergeCell ref="D430:E430"/>
    <mergeCell ref="D441:E441"/>
    <mergeCell ref="D442:E442"/>
    <mergeCell ref="D443:E443"/>
    <mergeCell ref="D444:E444"/>
    <mergeCell ref="D445:E445"/>
    <mergeCell ref="D436:E436"/>
    <mergeCell ref="D437:E437"/>
    <mergeCell ref="D438:E438"/>
    <mergeCell ref="D439:E439"/>
    <mergeCell ref="D440:E440"/>
    <mergeCell ref="D451:E451"/>
    <mergeCell ref="D452:E452"/>
    <mergeCell ref="D453:E453"/>
    <mergeCell ref="D454:E454"/>
    <mergeCell ref="D455:E455"/>
    <mergeCell ref="D446:E446"/>
    <mergeCell ref="D447:E447"/>
    <mergeCell ref="D448:E448"/>
    <mergeCell ref="D449:E449"/>
    <mergeCell ref="D450:E450"/>
    <mergeCell ref="D461:E461"/>
    <mergeCell ref="D462:E462"/>
    <mergeCell ref="D463:E463"/>
    <mergeCell ref="D464:E464"/>
    <mergeCell ref="D465:E465"/>
    <mergeCell ref="D456:E456"/>
    <mergeCell ref="D457:E457"/>
    <mergeCell ref="D458:E458"/>
    <mergeCell ref="D459:E459"/>
    <mergeCell ref="D460:E460"/>
    <mergeCell ref="D471:E471"/>
    <mergeCell ref="D472:E472"/>
    <mergeCell ref="D473:E473"/>
    <mergeCell ref="D474:E474"/>
    <mergeCell ref="D475:E475"/>
    <mergeCell ref="D466:E466"/>
    <mergeCell ref="D467:E467"/>
    <mergeCell ref="D468:E468"/>
    <mergeCell ref="D469:E469"/>
    <mergeCell ref="D470:E470"/>
    <mergeCell ref="D481:E481"/>
    <mergeCell ref="D482:E482"/>
    <mergeCell ref="D483:E483"/>
    <mergeCell ref="D484:E484"/>
    <mergeCell ref="D485:E485"/>
    <mergeCell ref="D476:E476"/>
    <mergeCell ref="D477:E477"/>
    <mergeCell ref="D478:E478"/>
    <mergeCell ref="D479:E479"/>
    <mergeCell ref="D480:E480"/>
    <mergeCell ref="D491:E491"/>
    <mergeCell ref="D492:E492"/>
    <mergeCell ref="D493:E493"/>
    <mergeCell ref="D494:E494"/>
    <mergeCell ref="D495:E495"/>
    <mergeCell ref="D486:E486"/>
    <mergeCell ref="D487:E487"/>
    <mergeCell ref="D488:E488"/>
    <mergeCell ref="D489:E489"/>
    <mergeCell ref="D490:E490"/>
    <mergeCell ref="D501:E501"/>
    <mergeCell ref="D502:E502"/>
    <mergeCell ref="D503:E503"/>
    <mergeCell ref="D504:E504"/>
    <mergeCell ref="D505:E505"/>
    <mergeCell ref="D496:E496"/>
    <mergeCell ref="D497:E497"/>
    <mergeCell ref="D498:E498"/>
    <mergeCell ref="D499:E499"/>
    <mergeCell ref="D500:E500"/>
    <mergeCell ref="D511:E511"/>
    <mergeCell ref="D512:E512"/>
    <mergeCell ref="D513:E513"/>
    <mergeCell ref="D514:E514"/>
    <mergeCell ref="D515:E515"/>
    <mergeCell ref="D506:E506"/>
    <mergeCell ref="D507:E507"/>
    <mergeCell ref="D508:E508"/>
    <mergeCell ref="D509:E509"/>
    <mergeCell ref="D510:E510"/>
    <mergeCell ref="D521:E521"/>
    <mergeCell ref="D522:E522"/>
    <mergeCell ref="D523:E523"/>
    <mergeCell ref="D524:E524"/>
    <mergeCell ref="D525:E525"/>
    <mergeCell ref="D516:E516"/>
    <mergeCell ref="D517:E517"/>
    <mergeCell ref="D518:E518"/>
    <mergeCell ref="D519:E519"/>
    <mergeCell ref="D520:E520"/>
    <mergeCell ref="D531:E531"/>
    <mergeCell ref="D532:E532"/>
    <mergeCell ref="D533:E533"/>
    <mergeCell ref="D534:E534"/>
    <mergeCell ref="D535:E535"/>
    <mergeCell ref="D526:E526"/>
    <mergeCell ref="D527:E527"/>
    <mergeCell ref="D528:E528"/>
    <mergeCell ref="D529:E529"/>
    <mergeCell ref="D530:E530"/>
    <mergeCell ref="D541:E541"/>
    <mergeCell ref="D542:E542"/>
    <mergeCell ref="D543:E543"/>
    <mergeCell ref="D544:E544"/>
    <mergeCell ref="D545:E545"/>
    <mergeCell ref="D536:E536"/>
    <mergeCell ref="D537:E537"/>
    <mergeCell ref="D538:E538"/>
    <mergeCell ref="D539:E539"/>
    <mergeCell ref="D540:E540"/>
    <mergeCell ref="D551:E551"/>
    <mergeCell ref="D552:E552"/>
    <mergeCell ref="D553:E553"/>
    <mergeCell ref="D554:E554"/>
    <mergeCell ref="D555:E555"/>
    <mergeCell ref="D546:E546"/>
    <mergeCell ref="D547:E547"/>
    <mergeCell ref="D548:E548"/>
    <mergeCell ref="D549:E549"/>
    <mergeCell ref="D550:E550"/>
    <mergeCell ref="D561:E561"/>
    <mergeCell ref="D562:E562"/>
    <mergeCell ref="D563:E563"/>
    <mergeCell ref="D564:E564"/>
    <mergeCell ref="D565:E565"/>
    <mergeCell ref="D556:E556"/>
    <mergeCell ref="D557:E557"/>
    <mergeCell ref="D558:E558"/>
    <mergeCell ref="D559:E559"/>
    <mergeCell ref="D560:E560"/>
    <mergeCell ref="D571:E571"/>
    <mergeCell ref="D572:E572"/>
    <mergeCell ref="D573:E573"/>
    <mergeCell ref="D574:E574"/>
    <mergeCell ref="D575:E575"/>
    <mergeCell ref="D566:E566"/>
    <mergeCell ref="D567:E567"/>
    <mergeCell ref="D568:E568"/>
    <mergeCell ref="D569:E569"/>
    <mergeCell ref="D570:E570"/>
    <mergeCell ref="D581:E581"/>
    <mergeCell ref="D582:E582"/>
    <mergeCell ref="D583:E583"/>
    <mergeCell ref="D584:E584"/>
    <mergeCell ref="D585:E585"/>
    <mergeCell ref="D576:E576"/>
    <mergeCell ref="D577:E577"/>
    <mergeCell ref="D578:E578"/>
    <mergeCell ref="D579:E579"/>
    <mergeCell ref="D580:E580"/>
    <mergeCell ref="D591:E591"/>
    <mergeCell ref="D592:E592"/>
    <mergeCell ref="D593:E593"/>
    <mergeCell ref="D594:E594"/>
    <mergeCell ref="D595:E595"/>
    <mergeCell ref="D586:E586"/>
    <mergeCell ref="D587:E587"/>
    <mergeCell ref="D588:E588"/>
    <mergeCell ref="D589:E589"/>
    <mergeCell ref="D590:E590"/>
    <mergeCell ref="D601:E601"/>
    <mergeCell ref="D602:E602"/>
    <mergeCell ref="D603:E603"/>
    <mergeCell ref="D604:E604"/>
    <mergeCell ref="D605:E605"/>
    <mergeCell ref="D596:E596"/>
    <mergeCell ref="D597:E597"/>
    <mergeCell ref="D598:E598"/>
    <mergeCell ref="D599:E599"/>
    <mergeCell ref="D600:E600"/>
    <mergeCell ref="D611:E611"/>
    <mergeCell ref="D612:E612"/>
    <mergeCell ref="D613:E613"/>
    <mergeCell ref="D614:E614"/>
    <mergeCell ref="D615:E615"/>
    <mergeCell ref="D606:E606"/>
    <mergeCell ref="D607:E607"/>
    <mergeCell ref="D608:E608"/>
    <mergeCell ref="D609:E609"/>
    <mergeCell ref="D610:E610"/>
    <mergeCell ref="D621:E621"/>
    <mergeCell ref="D622:E622"/>
    <mergeCell ref="D623:E623"/>
    <mergeCell ref="D624:E624"/>
    <mergeCell ref="D625:E625"/>
    <mergeCell ref="D616:E616"/>
    <mergeCell ref="D617:E617"/>
    <mergeCell ref="D618:E618"/>
    <mergeCell ref="D619:E619"/>
    <mergeCell ref="D620:E620"/>
    <mergeCell ref="D631:E631"/>
    <mergeCell ref="D632:E632"/>
    <mergeCell ref="D633:E633"/>
    <mergeCell ref="D634:E634"/>
    <mergeCell ref="D635:E635"/>
    <mergeCell ref="D626:E626"/>
    <mergeCell ref="D627:E627"/>
    <mergeCell ref="D628:E628"/>
    <mergeCell ref="D629:E629"/>
    <mergeCell ref="D630:E630"/>
    <mergeCell ref="D641:E641"/>
    <mergeCell ref="D642:E642"/>
    <mergeCell ref="D643:E643"/>
    <mergeCell ref="D644:E644"/>
    <mergeCell ref="D645:E645"/>
    <mergeCell ref="D636:E636"/>
    <mergeCell ref="D637:E637"/>
    <mergeCell ref="D638:E638"/>
    <mergeCell ref="D639:E639"/>
    <mergeCell ref="D640:E640"/>
    <mergeCell ref="D651:E651"/>
    <mergeCell ref="D652:E652"/>
    <mergeCell ref="D653:E653"/>
    <mergeCell ref="D654:E654"/>
    <mergeCell ref="D655:E655"/>
    <mergeCell ref="D646:E646"/>
    <mergeCell ref="D647:E647"/>
    <mergeCell ref="D648:E648"/>
    <mergeCell ref="D649:E649"/>
    <mergeCell ref="D650:E650"/>
    <mergeCell ref="D661:E661"/>
    <mergeCell ref="D662:E662"/>
    <mergeCell ref="D663:E663"/>
    <mergeCell ref="D664:E664"/>
    <mergeCell ref="D665:E665"/>
    <mergeCell ref="D656:E656"/>
    <mergeCell ref="D657:E657"/>
    <mergeCell ref="D658:E658"/>
    <mergeCell ref="D659:E659"/>
    <mergeCell ref="D660:E660"/>
    <mergeCell ref="D671:E671"/>
    <mergeCell ref="D672:E672"/>
    <mergeCell ref="D673:E673"/>
    <mergeCell ref="D674:E674"/>
    <mergeCell ref="D675:E675"/>
    <mergeCell ref="D666:E666"/>
    <mergeCell ref="D667:E667"/>
    <mergeCell ref="D668:E668"/>
    <mergeCell ref="D669:E669"/>
    <mergeCell ref="D670:E670"/>
    <mergeCell ref="D681:E681"/>
    <mergeCell ref="D682:E682"/>
    <mergeCell ref="D683:E683"/>
    <mergeCell ref="D684:E684"/>
    <mergeCell ref="D685:E685"/>
    <mergeCell ref="D676:E676"/>
    <mergeCell ref="D677:E677"/>
    <mergeCell ref="D678:E678"/>
    <mergeCell ref="D679:E679"/>
    <mergeCell ref="D680:E680"/>
    <mergeCell ref="D691:E691"/>
    <mergeCell ref="D692:E692"/>
    <mergeCell ref="D693:E693"/>
    <mergeCell ref="D694:E694"/>
    <mergeCell ref="D695:E695"/>
    <mergeCell ref="D686:E686"/>
    <mergeCell ref="D687:E687"/>
    <mergeCell ref="D688:E688"/>
    <mergeCell ref="D689:E689"/>
    <mergeCell ref="D690:E690"/>
    <mergeCell ref="D701:E701"/>
    <mergeCell ref="D702:E702"/>
    <mergeCell ref="D703:E703"/>
    <mergeCell ref="D704:E704"/>
    <mergeCell ref="D705:E705"/>
    <mergeCell ref="D696:E696"/>
    <mergeCell ref="D697:E697"/>
    <mergeCell ref="D698:E698"/>
    <mergeCell ref="D699:E699"/>
    <mergeCell ref="D700:E700"/>
    <mergeCell ref="D711:E711"/>
    <mergeCell ref="D712:E712"/>
    <mergeCell ref="D713:E713"/>
    <mergeCell ref="D714:E714"/>
    <mergeCell ref="D715:E715"/>
    <mergeCell ref="D706:E706"/>
    <mergeCell ref="D707:E707"/>
    <mergeCell ref="D708:E708"/>
    <mergeCell ref="D709:E709"/>
    <mergeCell ref="D710:E710"/>
    <mergeCell ref="D721:E721"/>
    <mergeCell ref="D722:E722"/>
    <mergeCell ref="D723:E723"/>
    <mergeCell ref="D724:E724"/>
    <mergeCell ref="D725:E725"/>
    <mergeCell ref="D716:E716"/>
    <mergeCell ref="D717:E717"/>
    <mergeCell ref="D718:E718"/>
    <mergeCell ref="D719:E719"/>
    <mergeCell ref="D720:E720"/>
    <mergeCell ref="D731:E731"/>
    <mergeCell ref="D732:E732"/>
    <mergeCell ref="D733:E733"/>
    <mergeCell ref="D734:E734"/>
    <mergeCell ref="D735:E735"/>
    <mergeCell ref="D726:E726"/>
    <mergeCell ref="D727:E727"/>
    <mergeCell ref="D728:E728"/>
    <mergeCell ref="D729:E729"/>
    <mergeCell ref="D730:E730"/>
    <mergeCell ref="D741:E741"/>
    <mergeCell ref="D742:E742"/>
    <mergeCell ref="D743:E743"/>
    <mergeCell ref="D744:E744"/>
    <mergeCell ref="D745:E745"/>
    <mergeCell ref="D736:E736"/>
    <mergeCell ref="D737:E737"/>
    <mergeCell ref="D738:E738"/>
    <mergeCell ref="D739:E739"/>
    <mergeCell ref="D740:E740"/>
    <mergeCell ref="D751:E751"/>
    <mergeCell ref="D752:E752"/>
    <mergeCell ref="D753:E753"/>
    <mergeCell ref="D754:E754"/>
    <mergeCell ref="D755:E755"/>
    <mergeCell ref="D746:E746"/>
    <mergeCell ref="D747:E747"/>
    <mergeCell ref="D748:E748"/>
    <mergeCell ref="D749:E749"/>
    <mergeCell ref="D750:E750"/>
    <mergeCell ref="D761:E761"/>
    <mergeCell ref="D762:E762"/>
    <mergeCell ref="D763:E763"/>
    <mergeCell ref="D764:E764"/>
    <mergeCell ref="D765:E765"/>
    <mergeCell ref="D756:E756"/>
    <mergeCell ref="D757:E757"/>
    <mergeCell ref="D758:E758"/>
    <mergeCell ref="D759:E759"/>
    <mergeCell ref="D760:E760"/>
    <mergeCell ref="D771:E771"/>
    <mergeCell ref="D772:E772"/>
    <mergeCell ref="D773:E773"/>
    <mergeCell ref="D774:E774"/>
    <mergeCell ref="D775:E775"/>
    <mergeCell ref="D766:E766"/>
    <mergeCell ref="D767:E767"/>
    <mergeCell ref="D768:E768"/>
    <mergeCell ref="D769:E769"/>
    <mergeCell ref="D770:E770"/>
    <mergeCell ref="D781:E781"/>
    <mergeCell ref="D782:E782"/>
    <mergeCell ref="D783:E783"/>
    <mergeCell ref="D784:E784"/>
    <mergeCell ref="D785:E785"/>
    <mergeCell ref="D776:E776"/>
    <mergeCell ref="D777:E777"/>
    <mergeCell ref="D778:E778"/>
    <mergeCell ref="D779:E779"/>
    <mergeCell ref="D780:E780"/>
    <mergeCell ref="D791:E791"/>
    <mergeCell ref="D792:E792"/>
    <mergeCell ref="D793:E793"/>
    <mergeCell ref="D794:E794"/>
    <mergeCell ref="D795:E795"/>
    <mergeCell ref="D786:E786"/>
    <mergeCell ref="D787:E787"/>
    <mergeCell ref="D788:E788"/>
    <mergeCell ref="D789:E789"/>
    <mergeCell ref="D790:E790"/>
    <mergeCell ref="D801:E801"/>
    <mergeCell ref="D802:E802"/>
    <mergeCell ref="D803:E803"/>
    <mergeCell ref="D804:E804"/>
    <mergeCell ref="D805:E805"/>
    <mergeCell ref="D796:E796"/>
    <mergeCell ref="D797:E797"/>
    <mergeCell ref="D798:E798"/>
    <mergeCell ref="D799:E799"/>
    <mergeCell ref="D800:E800"/>
  </mergeCells>
  <conditionalFormatting sqref="A26:D805 F26:H805">
    <cfRule type="expression" dxfId="1" priority="1" stopIfTrue="1">
      <formula>MOD($A26,periods_per_year)=0</formula>
    </cfRule>
  </conditionalFormatting>
  <conditionalFormatting sqref="D10">
    <cfRule type="expression" dxfId="0" priority="2" stopIfTrue="1">
      <formula>compoundPeriod&gt;periods_per_year</formula>
    </cfRule>
  </conditionalFormatting>
  <dataValidations count="2">
    <dataValidation type="list" showInputMessage="1" showErrorMessage="1" sqref="D11" xr:uid="{117B147F-556E-44BB-B7E1-A16F055E0795}">
      <formula1>"End of Period, Beginning of Period"</formula1>
    </dataValidation>
    <dataValidation type="list" showInputMessage="1" showErrorMessage="1" sqref="D9:D10" xr:uid="{0B29FBFB-2AD4-47E3-9F97-BB26BD5EE1B5}">
      <formula1>$F$13:$F$20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58F-F1E7-4926-BA2D-23F7EE55D882}">
  <dimension ref="A1:C2"/>
  <sheetViews>
    <sheetView zoomScaleNormal="100" workbookViewId="0">
      <selection activeCell="G13" sqref="G13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5.7109375" customWidth="1"/>
  </cols>
  <sheetData>
    <row r="1" spans="1:3" x14ac:dyDescent="0.25">
      <c r="A1" t="s">
        <v>33</v>
      </c>
      <c r="B1" t="s">
        <v>34</v>
      </c>
      <c r="C1" s="58" t="s">
        <v>36</v>
      </c>
    </row>
    <row r="2" spans="1:3" x14ac:dyDescent="0.25">
      <c r="A2">
        <v>2546.8400000000006</v>
      </c>
      <c r="B2">
        <v>9999.998556450566</v>
      </c>
      <c r="C2" s="57">
        <f>A2+B2</f>
        <v>12546.838556450566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Schedule</vt:lpstr>
      <vt:lpstr>Graphs</vt:lpstr>
      <vt:lpstr>Schedule!beginDate</vt:lpstr>
      <vt:lpstr>Schedule!compoundPeriod</vt:lpstr>
      <vt:lpstr>Schedule!loanAmt</vt:lpstr>
      <vt:lpstr>Schedule!monthsPerPeriod</vt:lpstr>
      <vt:lpstr>Schedule!nPer</vt:lpstr>
      <vt:lpstr>Schedule!payment</vt:lpstr>
      <vt:lpstr>Schedule!periods_per_year</vt:lpstr>
      <vt:lpstr>Schedule!pmtType</vt:lpstr>
      <vt:lpstr>Schedule!rate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Emily Worley</cp:lastModifiedBy>
  <dcterms:created xsi:type="dcterms:W3CDTF">2024-12-03T00:48:29Z</dcterms:created>
  <dcterms:modified xsi:type="dcterms:W3CDTF">2026-05-14T04:47:39Z</dcterms:modified>
</cp:coreProperties>
</file>